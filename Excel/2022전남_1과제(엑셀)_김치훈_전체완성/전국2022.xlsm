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drawings/drawing2.xml" ContentType="application/vnd.openxmlformats-officedocument.drawing+xml"/>
  <Override PartName="/xl/activeX/activeX10.xml" ContentType="application/vnd.ms-office.activeX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11.xml" ContentType="application/vnd.ms-office.activeX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activeX/activeX12.xml" ContentType="application/vnd.ms-office.activeX+xml"/>
  <Override PartName="/xl/drawings/drawing5.xml" ContentType="application/vnd.openxmlformats-officedocument.drawing+xml"/>
  <Override PartName="/xl/activeX/activeX13.xml" ContentType="application/vnd.ms-office.activeX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activeX/activeX14.xml" ContentType="application/vnd.ms-office.activeX+xml"/>
  <Override PartName="/xl/tables/table4.xml" ContentType="application/vnd.openxmlformats-officedocument.spreadsheetml.table+xml"/>
  <Override PartName="/xl/printerSettings/printerSettings1.bin" ContentType="application/vnd.openxmlformats-officedocument.spreadsheetml.printerSettings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activeX/activeX15.xml" ContentType="application/vnd.ms-office.activeX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0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11.xml" ContentType="application/vnd.openxmlformats-officedocument.drawing+xml"/>
  <Override PartName="/xl/slicers/slicer1.xml" ContentType="application/vnd.ms-excel.slicer+xml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G:\기능\2022 전국\엑셀\전남\2022전남_1과제(엑셀)_김치훈_전체완성\"/>
    </mc:Choice>
  </mc:AlternateContent>
  <bookViews>
    <workbookView xWindow="0" yWindow="0" windowWidth="28800" windowHeight="12255" activeTab="11"/>
  </bookViews>
  <sheets>
    <sheet name="메인" sheetId="1" r:id="rId1"/>
    <sheet name="회원" sheetId="2" r:id="rId2"/>
    <sheet name="카테고리" sheetId="3" r:id="rId3"/>
    <sheet name="상품" sheetId="4" r:id="rId4"/>
    <sheet name="관심상품" sheetId="5" r:id="rId5"/>
    <sheet name="구매내역" sheetId="6" r:id="rId6"/>
    <sheet name="평가" sheetId="7" r:id="rId7"/>
    <sheet name="지역 시트" sheetId="8" r:id="rId8"/>
    <sheet name="거래분석" sheetId="9" r:id="rId9"/>
    <sheet name="인기상품" sheetId="10" r:id="rId10"/>
    <sheet name="회원분석" sheetId="11" r:id="rId11"/>
    <sheet name="자료처리" sheetId="12" r:id="rId12"/>
  </sheets>
  <definedNames>
    <definedName name="_xlnm._FilterDatabase" localSheetId="3" hidden="1">상품!$A$1:$L$241</definedName>
    <definedName name="_xlnm.Criteria" localSheetId="3">상품!#REF!</definedName>
    <definedName name="_xlnm.Criteria" localSheetId="11">자료처리!$N$1:$S$2</definedName>
    <definedName name="_xlnm.Extract" localSheetId="3">상품!#REF!</definedName>
    <definedName name="_xlnm.Extract" localSheetId="9">인기상품!$A$1:$C$1</definedName>
    <definedName name="_xlnm.Extract" localSheetId="11">자료처리!$U$1:$AC$1</definedName>
    <definedName name="관심여부">자료처리!$B$5</definedName>
    <definedName name="번호">자료처리!$A$1</definedName>
    <definedName name="상품번호">자료처리!$A$5</definedName>
    <definedName name="수정상품">자료처리!$D$5</definedName>
    <definedName name="슬라이서_열1">#N/A</definedName>
    <definedName name="평가번호">자료처리!$E$5</definedName>
  </definedNames>
  <calcPr calcId="162913"/>
  <pivotCaches>
    <pivotCache cacheId="0" r:id="rId13"/>
    <pivotCache cacheId="1" r:id="rId14"/>
  </pivotCaches>
  <extLst>
    <ext xmlns:x14="http://schemas.microsoft.com/office/spreadsheetml/2009/9/main" uri="{BBE1A952-AA13-448e-AADC-164F8A28A991}">
      <x14:slicerCaches>
        <x14:slicerCache r:id="rId1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6" l="1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2" i="6"/>
  <c r="F1" i="4"/>
  <c r="L2" i="4" a="1"/>
  <c r="L2" i="4" s="1"/>
  <c r="F2" i="7" l="1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B5" i="12" a="1"/>
  <c r="B5" i="12" s="1"/>
  <c r="O2" i="12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" i="4"/>
  <c r="C1" i="12" l="1"/>
  <c r="D1" i="12"/>
  <c r="E1" i="12"/>
  <c r="F1" i="12"/>
  <c r="G1" i="12"/>
  <c r="I1" i="12"/>
  <c r="K1" i="12"/>
  <c r="B1" i="12"/>
  <c r="L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" i="4"/>
  <c r="J6" i="2" l="1"/>
  <c r="J7" i="2"/>
  <c r="J8" i="2"/>
  <c r="E2" i="7"/>
  <c r="E3" i="7"/>
  <c r="E4" i="7"/>
  <c r="E5" i="7"/>
  <c r="E6" i="7"/>
  <c r="E7" i="7"/>
  <c r="E8" i="7"/>
  <c r="J12" i="2" s="1"/>
  <c r="E9" i="7"/>
  <c r="E10" i="7"/>
  <c r="J4" i="2" s="1"/>
  <c r="E11" i="7"/>
  <c r="E12" i="7"/>
  <c r="E13" i="7"/>
  <c r="E14" i="7"/>
  <c r="E15" i="7"/>
  <c r="E16" i="7"/>
  <c r="E17" i="7"/>
  <c r="J25" i="2" s="1"/>
  <c r="E18" i="7"/>
  <c r="J13" i="2" s="1"/>
  <c r="E19" i="7"/>
  <c r="E20" i="7"/>
  <c r="J10" i="2" s="1"/>
  <c r="E21" i="7"/>
  <c r="E22" i="7"/>
  <c r="E23" i="7"/>
  <c r="J22" i="2" s="1"/>
  <c r="E24" i="7"/>
  <c r="E25" i="7"/>
  <c r="E26" i="7"/>
  <c r="E27" i="7"/>
  <c r="E28" i="7"/>
  <c r="E29" i="7"/>
  <c r="E30" i="7"/>
  <c r="J20" i="2" s="1"/>
  <c r="E31" i="7"/>
  <c r="E32" i="7"/>
  <c r="E33" i="7"/>
  <c r="J19" i="2" s="1"/>
  <c r="E34" i="7"/>
  <c r="J17" i="2" s="1"/>
  <c r="E35" i="7"/>
  <c r="E36" i="7"/>
  <c r="E37" i="7"/>
  <c r="E38" i="7"/>
  <c r="J23" i="2" s="1"/>
  <c r="E39" i="7"/>
  <c r="E40" i="7"/>
  <c r="E41" i="7"/>
  <c r="E42" i="7"/>
  <c r="E43" i="7"/>
  <c r="E44" i="7"/>
  <c r="E45" i="7"/>
  <c r="E46" i="7"/>
  <c r="J26" i="2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" i="4"/>
  <c r="E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J11" i="2" l="1"/>
  <c r="J24" i="2"/>
  <c r="J5" i="2"/>
  <c r="J14" i="2"/>
  <c r="J18" i="2"/>
  <c r="J15" i="2"/>
  <c r="J3" i="2"/>
  <c r="J2" i="2"/>
  <c r="J1" i="12" s="1"/>
  <c r="J9" i="2"/>
  <c r="J21" i="2"/>
  <c r="J16" i="2"/>
  <c r="H7" i="2"/>
  <c r="H16" i="2"/>
  <c r="N16" i="2"/>
  <c r="M16" i="2"/>
  <c r="H25" i="2"/>
  <c r="N25" i="2"/>
  <c r="M25" i="2"/>
  <c r="H9" i="2"/>
  <c r="N9" i="2"/>
  <c r="M9" i="2"/>
  <c r="H3" i="2"/>
  <c r="H8" i="2"/>
  <c r="H14" i="2"/>
  <c r="H6" i="2"/>
  <c r="H19" i="2"/>
  <c r="H23" i="2"/>
  <c r="M23" i="2"/>
  <c r="N23" i="2"/>
  <c r="H21" i="2"/>
  <c r="N21" i="2"/>
  <c r="M21" i="2"/>
  <c r="H12" i="2"/>
  <c r="N12" i="2"/>
  <c r="M12" i="2"/>
  <c r="N20" i="2"/>
  <c r="M20" i="2"/>
  <c r="H26" i="2"/>
  <c r="N26" i="2"/>
  <c r="M26" i="2"/>
  <c r="H11" i="2"/>
  <c r="M11" i="2"/>
  <c r="N11" i="2"/>
  <c r="H13" i="2"/>
  <c r="N13" i="2"/>
  <c r="M13" i="2"/>
  <c r="H4" i="2"/>
  <c r="H24" i="2"/>
  <c r="N24" i="2"/>
  <c r="M24" i="2"/>
  <c r="D2" i="3" a="1"/>
  <c r="D2" i="3" s="1"/>
  <c r="N22" i="2"/>
  <c r="M22" i="2"/>
  <c r="M3" i="2"/>
  <c r="N3" i="2"/>
  <c r="H10" i="2"/>
  <c r="N10" i="2"/>
  <c r="M10" i="2"/>
  <c r="H18" i="2"/>
  <c r="N18" i="2"/>
  <c r="M18" i="2"/>
  <c r="H17" i="2"/>
  <c r="N17" i="2"/>
  <c r="M17" i="2"/>
  <c r="N4" i="2"/>
  <c r="M4" i="2"/>
  <c r="H20" i="2"/>
  <c r="H5" i="2"/>
  <c r="N5" i="2"/>
  <c r="M5" i="2"/>
  <c r="H15" i="2"/>
  <c r="M15" i="2"/>
  <c r="N15" i="2"/>
  <c r="M7" i="2"/>
  <c r="N7" i="2"/>
  <c r="N8" i="2"/>
  <c r="M8" i="2"/>
  <c r="H2" i="2"/>
  <c r="H1" i="12" s="1"/>
  <c r="N2" i="2"/>
  <c r="M2" i="2"/>
  <c r="N14" i="2"/>
  <c r="M14" i="2"/>
  <c r="N6" i="2"/>
  <c r="M6" i="2"/>
  <c r="M19" i="2"/>
  <c r="N19" i="2"/>
  <c r="D13" i="3" a="1"/>
  <c r="D13" i="3" s="1"/>
  <c r="D9" i="3" a="1"/>
  <c r="D9" i="3" s="1"/>
  <c r="D5" i="3" a="1"/>
  <c r="D5" i="3" s="1"/>
  <c r="D12" i="3" a="1"/>
  <c r="D12" i="3" s="1"/>
  <c r="D8" i="3" a="1"/>
  <c r="D8" i="3" s="1"/>
  <c r="D4" i="3" a="1"/>
  <c r="D4" i="3" s="1"/>
  <c r="H22" i="2"/>
  <c r="D11" i="3" a="1"/>
  <c r="D11" i="3" s="1"/>
  <c r="D7" i="3" a="1"/>
  <c r="D7" i="3" s="1"/>
  <c r="D3" i="3" a="1"/>
  <c r="D3" i="3" s="1"/>
  <c r="D10" i="3" a="1"/>
  <c r="D10" i="3" s="1"/>
  <c r="D6" i="3" a="1"/>
  <c r="D6" i="3" s="1"/>
  <c r="O14" i="2" l="1"/>
  <c r="O5" i="2"/>
  <c r="O4" i="2"/>
  <c r="O10" i="2"/>
  <c r="O24" i="2"/>
  <c r="O13" i="2"/>
  <c r="O11" i="2"/>
  <c r="O25" i="2"/>
  <c r="O26" i="2"/>
  <c r="O21" i="2"/>
  <c r="O23" i="2"/>
  <c r="O16" i="2"/>
  <c r="O15" i="2"/>
  <c r="O12" i="2"/>
  <c r="O7" i="2"/>
  <c r="O3" i="2"/>
  <c r="O19" i="2"/>
  <c r="O8" i="2"/>
  <c r="O18" i="2"/>
  <c r="O22" i="2"/>
  <c r="O20" i="2"/>
  <c r="O9" i="2"/>
  <c r="O6" i="2"/>
  <c r="O2" i="2"/>
  <c r="O17" i="2"/>
</calcChain>
</file>

<file path=xl/sharedStrings.xml><?xml version="1.0" encoding="utf-8"?>
<sst xmlns="http://schemas.openxmlformats.org/spreadsheetml/2006/main" count="1251" uniqueCount="961">
  <si>
    <t>번호</t>
  </si>
  <si>
    <t>이름</t>
  </si>
  <si>
    <t>아이디</t>
  </si>
  <si>
    <t>비밀번호</t>
  </si>
  <si>
    <t>전화번호</t>
  </si>
  <si>
    <t>구</t>
  </si>
  <si>
    <t>동</t>
  </si>
  <si>
    <t>관심 카테고리</t>
  </si>
  <si>
    <t>머니</t>
  </si>
  <si>
    <t>박지윤</t>
  </si>
  <si>
    <t>성산구</t>
  </si>
  <si>
    <t>중앙동</t>
  </si>
  <si>
    <t>이수현</t>
  </si>
  <si>
    <t>tnguss</t>
  </si>
  <si>
    <t>Tnguss!</t>
  </si>
  <si>
    <t>010-1234-5678</t>
  </si>
  <si>
    <t>진해구</t>
  </si>
  <si>
    <t>충무동</t>
  </si>
  <si>
    <t>1,3,6,11</t>
  </si>
  <si>
    <t>박서우</t>
  </si>
  <si>
    <t>tjdn45</t>
  </si>
  <si>
    <t>Tjdn45!</t>
  </si>
  <si>
    <t>010-2232-1111</t>
  </si>
  <si>
    <t>마산회원구</t>
  </si>
  <si>
    <t>석전동</t>
  </si>
  <si>
    <t>8,9,12</t>
  </si>
  <si>
    <t>정시현</t>
  </si>
  <si>
    <t>tlgus17</t>
  </si>
  <si>
    <t>Tlgus11!</t>
  </si>
  <si>
    <t>010-7897-7877</t>
  </si>
  <si>
    <t>마산합포구</t>
  </si>
  <si>
    <t>현동</t>
  </si>
  <si>
    <t>3,7,8</t>
  </si>
  <si>
    <t>강현서</t>
  </si>
  <si>
    <t>gustj3</t>
  </si>
  <si>
    <t>Gustj3!</t>
  </si>
  <si>
    <t>010-3232-2323</t>
  </si>
  <si>
    <t>의창구</t>
  </si>
  <si>
    <t>의창동</t>
  </si>
  <si>
    <t>6,10</t>
  </si>
  <si>
    <t>윤하진</t>
  </si>
  <si>
    <t>gkwls7</t>
  </si>
  <si>
    <t>상남동</t>
  </si>
  <si>
    <t>4,5,9,10</t>
  </si>
  <si>
    <t>장하람</t>
  </si>
  <si>
    <t>haram125</t>
  </si>
  <si>
    <t>Haram125!</t>
  </si>
  <si>
    <t>010-5555-6666</t>
  </si>
  <si>
    <t>경화동</t>
  </si>
  <si>
    <t>1,3,5,8,9,12</t>
  </si>
  <si>
    <t>임라온</t>
  </si>
  <si>
    <t>fkdhs6</t>
  </si>
  <si>
    <t>Fkdhs6!</t>
  </si>
  <si>
    <t>010-1235-7895</t>
  </si>
  <si>
    <t>회성동</t>
  </si>
  <si>
    <t>2,4,9</t>
  </si>
  <si>
    <t>전재희</t>
  </si>
  <si>
    <t>wogml469</t>
  </si>
  <si>
    <t>Wogml469!</t>
  </si>
  <si>
    <t>010-2378-8912</t>
  </si>
  <si>
    <t>월영동</t>
  </si>
  <si>
    <t>1,5,10,12</t>
  </si>
  <si>
    <t>황가온</t>
  </si>
  <si>
    <t>rkdhs12</t>
  </si>
  <si>
    <t>Rkdhs12!</t>
  </si>
  <si>
    <t>010-4545-5454</t>
  </si>
  <si>
    <t>사파동</t>
  </si>
  <si>
    <t>5,6,8,9</t>
  </si>
  <si>
    <t>정은수</t>
  </si>
  <si>
    <t>eunsoo19</t>
  </si>
  <si>
    <t>Eunsoo12!</t>
  </si>
  <si>
    <t>010-3333-4444</t>
  </si>
  <si>
    <t>팔룡동</t>
  </si>
  <si>
    <t>4,10</t>
  </si>
  <si>
    <t>강진서</t>
  </si>
  <si>
    <t>wlstjcu3</t>
  </si>
  <si>
    <t>Wlstjcu3!</t>
  </si>
  <si>
    <t>010-2333-3222</t>
  </si>
  <si>
    <t>자은동</t>
  </si>
  <si>
    <t>5,7,9,10</t>
  </si>
  <si>
    <t>임주현</t>
  </si>
  <si>
    <t>wngusss4</t>
  </si>
  <si>
    <t>Wngusss4!</t>
  </si>
  <si>
    <t>010-4679-4523</t>
  </si>
  <si>
    <t>봉암동</t>
  </si>
  <si>
    <t>1,4,5,8</t>
  </si>
  <si>
    <t>정하루</t>
  </si>
  <si>
    <t>oneday15</t>
  </si>
  <si>
    <t>Oneday15!</t>
  </si>
  <si>
    <t>010-1728-5378</t>
  </si>
  <si>
    <t>가음정동</t>
  </si>
  <si>
    <t>3,4,5,8,9,10,12</t>
  </si>
  <si>
    <t>윤이수</t>
  </si>
  <si>
    <t>dltn439</t>
  </si>
  <si>
    <t>Dltn439!</t>
  </si>
  <si>
    <t>010-2222-1234</t>
  </si>
  <si>
    <t>명곡동</t>
  </si>
  <si>
    <t>2,4,5,8</t>
  </si>
  <si>
    <t>신로하</t>
  </si>
  <si>
    <t>fhgk33</t>
  </si>
  <si>
    <t>Fhgk33!</t>
  </si>
  <si>
    <t>010-3459-7331</t>
  </si>
  <si>
    <t>교방동</t>
  </si>
  <si>
    <t>5,6,9,12</t>
  </si>
  <si>
    <t>이진</t>
  </si>
  <si>
    <t>leejinn45</t>
  </si>
  <si>
    <t>Leejinn45!</t>
  </si>
  <si>
    <t>010-5678-7845</t>
  </si>
  <si>
    <t>덕산동</t>
  </si>
  <si>
    <t>7,8,10,11,12</t>
  </si>
  <si>
    <t>유해솔</t>
  </si>
  <si>
    <t>gothf77</t>
  </si>
  <si>
    <t>Gothf77!</t>
  </si>
  <si>
    <t>010-2326-4512</t>
  </si>
  <si>
    <t>봉림동</t>
  </si>
  <si>
    <t>5,7,9,11</t>
  </si>
  <si>
    <t>장희수</t>
  </si>
  <si>
    <t>gmltn34</t>
  </si>
  <si>
    <t>Gmltn34!</t>
  </si>
  <si>
    <t>010-5623-2635</t>
  </si>
  <si>
    <t>양덕1동</t>
  </si>
  <si>
    <t>5,6,7,12</t>
  </si>
  <si>
    <t>조가람</t>
  </si>
  <si>
    <t>rkfka126</t>
  </si>
  <si>
    <t>Rkfka126!</t>
  </si>
  <si>
    <t>010-6666-7777</t>
  </si>
  <si>
    <t>간호동</t>
  </si>
  <si>
    <t>2,7</t>
  </si>
  <si>
    <t>임시영</t>
  </si>
  <si>
    <t>tlduddl12</t>
  </si>
  <si>
    <t>Tlduddl12!</t>
  </si>
  <si>
    <t>010-1010-0101</t>
  </si>
  <si>
    <t>웅남동</t>
  </si>
  <si>
    <t>4,5,7,8,9,12</t>
  </si>
  <si>
    <t>김바다</t>
  </si>
  <si>
    <t>kocean55</t>
  </si>
  <si>
    <t>Kocean55!</t>
  </si>
  <si>
    <t>010-7956-1212</t>
  </si>
  <si>
    <t>용지동</t>
  </si>
  <si>
    <t>1,5,9,10,11</t>
  </si>
  <si>
    <t>정재연</t>
  </si>
  <si>
    <t>wodus444</t>
  </si>
  <si>
    <t>Wodus444!</t>
  </si>
  <si>
    <t>010-2399-1224</t>
  </si>
  <si>
    <t>태평동</t>
  </si>
  <si>
    <t>1,2,8,0</t>
  </si>
  <si>
    <t>강서안</t>
  </si>
  <si>
    <t>tjdks08</t>
  </si>
  <si>
    <t>Tjdks08!</t>
  </si>
  <si>
    <t>010-8745-4321</t>
  </si>
  <si>
    <t>합포동</t>
  </si>
  <si>
    <t>2,7,11,12</t>
  </si>
  <si>
    <t>이루하</t>
  </si>
  <si>
    <t>ruuha8</t>
  </si>
  <si>
    <t>Ruuha8!</t>
  </si>
  <si>
    <t>010-4321-8888</t>
  </si>
  <si>
    <t>양덕2동</t>
  </si>
  <si>
    <t>1,2,5,7,9,11</t>
  </si>
  <si>
    <t>코드</t>
  </si>
  <si>
    <t>카테고리명</t>
  </si>
  <si>
    <t>B</t>
  </si>
  <si>
    <t>뷰티/미용</t>
  </si>
  <si>
    <t>D</t>
  </si>
  <si>
    <t>디지털/가전</t>
  </si>
  <si>
    <t>F</t>
  </si>
  <si>
    <t>가구/인테리어</t>
  </si>
  <si>
    <t>G</t>
  </si>
  <si>
    <t>게임/취미/문구</t>
  </si>
  <si>
    <t>H</t>
  </si>
  <si>
    <t>건강/의료용품</t>
  </si>
  <si>
    <t>L</t>
  </si>
  <si>
    <t>생활/주방용품</t>
  </si>
  <si>
    <t>M</t>
  </si>
  <si>
    <t>남성패션</t>
  </si>
  <si>
    <t>P</t>
  </si>
  <si>
    <t>반려동물용품</t>
  </si>
  <si>
    <t>S</t>
  </si>
  <si>
    <t>스포츠/레저</t>
  </si>
  <si>
    <t>T</t>
  </si>
  <si>
    <t>도서/티켓/음반</t>
  </si>
  <si>
    <t>W</t>
  </si>
  <si>
    <t>여성패션</t>
  </si>
  <si>
    <t>Y</t>
  </si>
  <si>
    <t>유아동/유아도서</t>
  </si>
  <si>
    <t>회원번호</t>
  </si>
  <si>
    <t>상품번호</t>
  </si>
  <si>
    <t>D-2</t>
  </si>
  <si>
    <t>D-1</t>
  </si>
  <si>
    <t>D-6</t>
  </si>
  <si>
    <t>Y-1</t>
  </si>
  <si>
    <t>D-3</t>
  </si>
  <si>
    <t>D-5</t>
  </si>
  <si>
    <t>F-1</t>
  </si>
  <si>
    <t>L-1</t>
  </si>
  <si>
    <t>F-2</t>
  </si>
  <si>
    <t>L-6</t>
  </si>
  <si>
    <t>M-11</t>
  </si>
  <si>
    <t>T-10</t>
  </si>
  <si>
    <t>F-18</t>
  </si>
  <si>
    <t>P-20</t>
  </si>
  <si>
    <t>F-12</t>
  </si>
  <si>
    <t>S-1</t>
  </si>
  <si>
    <t>B-5</t>
  </si>
  <si>
    <t>W-5</t>
  </si>
  <si>
    <t>W-1</t>
  </si>
  <si>
    <t>Y-2</t>
  </si>
  <si>
    <t>B-3</t>
  </si>
  <si>
    <t>B-17</t>
  </si>
  <si>
    <t>S-9</t>
  </si>
  <si>
    <t>S-2</t>
  </si>
  <si>
    <t>T-8</t>
  </si>
  <si>
    <t>L-8</t>
  </si>
  <si>
    <t>M-16</t>
  </si>
  <si>
    <t>H-8</t>
  </si>
  <si>
    <t>P-15</t>
  </si>
  <si>
    <t>G-3</t>
  </si>
  <si>
    <t>H-17</t>
  </si>
  <si>
    <t>G-7</t>
  </si>
  <si>
    <t>P-14</t>
  </si>
  <si>
    <t>B-7</t>
  </si>
  <si>
    <t>S-19</t>
  </si>
  <si>
    <t>S-20</t>
  </si>
  <si>
    <t>T-18</t>
  </si>
  <si>
    <t>F-14</t>
  </si>
  <si>
    <t>S-15</t>
  </si>
  <si>
    <t>L-18</t>
  </si>
  <si>
    <t>F-10</t>
  </si>
  <si>
    <t>H-7</t>
  </si>
  <si>
    <t xml:space="preserve"> 글 제목</t>
  </si>
  <si>
    <t>상품설명</t>
  </si>
  <si>
    <t>가격</t>
  </si>
  <si>
    <t>B-1</t>
  </si>
  <si>
    <t>크림 판매</t>
  </si>
  <si>
    <t>안쓰는 크림 있어서 다 팝니다 보습이 잘돼요</t>
  </si>
  <si>
    <t>B-2</t>
  </si>
  <si>
    <t>로션 판매</t>
  </si>
  <si>
    <t>촉촉해요</t>
  </si>
  <si>
    <t>미스트 판매</t>
  </si>
  <si>
    <t>지속성이 길어요</t>
  </si>
  <si>
    <t>B-4</t>
  </si>
  <si>
    <t>뷰러 판매</t>
  </si>
  <si>
    <t>속눈썹이 잘 올라가요</t>
  </si>
  <si>
    <t>봉고데기 판매</t>
  </si>
  <si>
    <t>잘 말려요</t>
  </si>
  <si>
    <t>B-6</t>
  </si>
  <si>
    <t>튼살크림 판매</t>
  </si>
  <si>
    <t>보습 최고!</t>
  </si>
  <si>
    <t>바디로션 판매</t>
  </si>
  <si>
    <t>안끈적거려요</t>
  </si>
  <si>
    <t>B-8</t>
  </si>
  <si>
    <t>립스틱 판매</t>
  </si>
  <si>
    <t>안건조해요</t>
  </si>
  <si>
    <t>B-9</t>
  </si>
  <si>
    <t>틴트 판매</t>
  </si>
  <si>
    <t>물광 레전드</t>
  </si>
  <si>
    <t>B-10</t>
  </si>
  <si>
    <t>선크림 판매</t>
  </si>
  <si>
    <t>끼임이 없어요</t>
  </si>
  <si>
    <t>B-11</t>
  </si>
  <si>
    <t>립밤 판매</t>
  </si>
  <si>
    <t>B-12</t>
  </si>
  <si>
    <t>아이섀도 판매</t>
  </si>
  <si>
    <t>데일리로 좋아요</t>
  </si>
  <si>
    <t>B-13</t>
  </si>
  <si>
    <t>블러셔 판매</t>
  </si>
  <si>
    <t>자연스러워요</t>
  </si>
  <si>
    <t>B-14</t>
  </si>
  <si>
    <t>하이라이터 판매</t>
  </si>
  <si>
    <t>적당한 광이 좋습니다</t>
  </si>
  <si>
    <t>B-15</t>
  </si>
  <si>
    <t>손거울 판매</t>
  </si>
  <si>
    <t>그립감이 좋아요</t>
  </si>
  <si>
    <t>B-16</t>
  </si>
  <si>
    <t>마스크팩 판매</t>
  </si>
  <si>
    <t>묶음으로 싸게 팔아요</t>
  </si>
  <si>
    <t>매니큐어 판매</t>
  </si>
  <si>
    <t>안써서 팔아요</t>
  </si>
  <si>
    <t>B-18</t>
  </si>
  <si>
    <t>향수 판매</t>
  </si>
  <si>
    <t>부담스럽지 않은 향입니다</t>
  </si>
  <si>
    <t>B-19</t>
  </si>
  <si>
    <t>바디클렌저 판매</t>
  </si>
  <si>
    <t>잘 씻겨요</t>
  </si>
  <si>
    <t>B-20</t>
  </si>
  <si>
    <t>입욕제 판매</t>
  </si>
  <si>
    <t>향이 좋습니다</t>
  </si>
  <si>
    <t>TV 판매</t>
  </si>
  <si>
    <t>청소기 판매</t>
  </si>
  <si>
    <t>청소기 싸게 팔아요</t>
  </si>
  <si>
    <t>냉장고 판매</t>
  </si>
  <si>
    <t>거의 새제품인 냉장고입니다</t>
  </si>
  <si>
    <t>D-4</t>
  </si>
  <si>
    <t>세탁기 판매</t>
  </si>
  <si>
    <t>드럼세탁기 싸게 팔아요</t>
  </si>
  <si>
    <t>건조기 판매</t>
  </si>
  <si>
    <t>건조가 잘돼요</t>
  </si>
  <si>
    <t>보풀제거기 판매</t>
  </si>
  <si>
    <t>보풀 잘 나는 옷에 사용하면 효과 좋아요</t>
  </si>
  <si>
    <t>D-7</t>
  </si>
  <si>
    <t>재봉틀 판매</t>
  </si>
  <si>
    <t>쓸때 조심히 써서 사용감 거의 없어요</t>
  </si>
  <si>
    <t>D-8</t>
  </si>
  <si>
    <t>도마살균기 판매</t>
  </si>
  <si>
    <t>미사용 신상품으로 도마 살균에 적합합니다</t>
  </si>
  <si>
    <t>D-9</t>
  </si>
  <si>
    <t>식기세척기 판매</t>
  </si>
  <si>
    <t>사용감은 약간 있으나 깔끔하게 사용했습니다</t>
  </si>
  <si>
    <t>D-10</t>
  </si>
  <si>
    <t>드라이기 판매</t>
  </si>
  <si>
    <t>자세히 봤을때만 하자 보이고 괜찮습니다</t>
  </si>
  <si>
    <t>D-11</t>
  </si>
  <si>
    <t>눈썹정리기 판매</t>
  </si>
  <si>
    <t>눈썹이 바로 깔끔하게 정리되서 너무 좋아요</t>
  </si>
  <si>
    <t>D-12</t>
  </si>
  <si>
    <t>에어프라이어 판매</t>
  </si>
  <si>
    <t>사용감 생활기스 있습니다</t>
  </si>
  <si>
    <t>D-13</t>
  </si>
  <si>
    <t>전자레인지 판매</t>
  </si>
  <si>
    <t>디자인이 이뻐 무난하게 잘 쓸 수 있습니다</t>
  </si>
  <si>
    <t>D-14</t>
  </si>
  <si>
    <t>전기포트 판매</t>
  </si>
  <si>
    <t>깔끔한 디자인이라 이쁘고 필요한 기능만 있어서 좋습니다</t>
  </si>
  <si>
    <t>D-15</t>
  </si>
  <si>
    <t>믹서기 판매</t>
  </si>
  <si>
    <t>소음도 크지 않고 잘 갈립니다</t>
  </si>
  <si>
    <t>D-16</t>
  </si>
  <si>
    <t>가스레인지 판매</t>
  </si>
  <si>
    <t>밧데리가 전면 교체라 좋습니다 사용감 없음</t>
  </si>
  <si>
    <t>D-17</t>
  </si>
  <si>
    <t>인덕션 판매</t>
  </si>
  <si>
    <t>다이얼식 온도 조절이라 간단하고 소음도 크게 거슬리지 않아요</t>
  </si>
  <si>
    <t>D-18</t>
  </si>
  <si>
    <t>정수기 판매</t>
  </si>
  <si>
    <t>물도 시원하게 나오고 쓴지 한달밖에 안됐습니다</t>
  </si>
  <si>
    <t>D-19</t>
  </si>
  <si>
    <t>선풍기 판매</t>
  </si>
  <si>
    <t>선풍기랑 설명서랑 같이 챙겨드려요</t>
  </si>
  <si>
    <t>D-20</t>
  </si>
  <si>
    <t>제습기 판매</t>
  </si>
  <si>
    <t>습기 많을 때 제습 잘되고 슬림해서 이뻐요</t>
  </si>
  <si>
    <t>쇼파 판매</t>
  </si>
  <si>
    <t>상태 좋고 튼튼해요</t>
  </si>
  <si>
    <t>무드등 판매</t>
  </si>
  <si>
    <t>잘 켜지고 분위기 잡을때 좋아요</t>
  </si>
  <si>
    <t>F-3</t>
  </si>
  <si>
    <t>책장 판매</t>
  </si>
  <si>
    <t>책이 많이 들어가요</t>
  </si>
  <si>
    <t>F-4</t>
  </si>
  <si>
    <t>독서실책상 판매</t>
  </si>
  <si>
    <t>집중이 잘되고 실용성이 좋아요</t>
  </si>
  <si>
    <t>F-5</t>
  </si>
  <si>
    <t>화장대 판매</t>
  </si>
  <si>
    <t>크기가 아담해서 방에 놓기 좋아요</t>
  </si>
  <si>
    <t>F-6</t>
  </si>
  <si>
    <t>거울 판매</t>
  </si>
  <si>
    <t>어느 방에서나 잘 어울려요</t>
  </si>
  <si>
    <t>F-7</t>
  </si>
  <si>
    <t>매트리스 판매</t>
  </si>
  <si>
    <t>푹신합니다 깨끗해요</t>
  </si>
  <si>
    <t>F-8</t>
  </si>
  <si>
    <t>식탁 판매</t>
  </si>
  <si>
    <t>많은 가족이 앉을수 있고 디자인이 이뻐요</t>
  </si>
  <si>
    <t>F-9</t>
  </si>
  <si>
    <t>의자 판매</t>
  </si>
  <si>
    <t>엉덩이가 커도 앉기 좋아요</t>
  </si>
  <si>
    <t>수납장 판매</t>
  </si>
  <si>
    <t>수납이 잘 돼요</t>
  </si>
  <si>
    <t>F-11</t>
  </si>
  <si>
    <t>선반 판매</t>
  </si>
  <si>
    <t>잘 올라가고 튼튼해요</t>
  </si>
  <si>
    <t>신발장 판매</t>
  </si>
  <si>
    <t>신발이 많이들어가고 깔끔해요</t>
  </si>
  <si>
    <t>F-13</t>
  </si>
  <si>
    <t>잡지꽂이 판매</t>
  </si>
  <si>
    <t>디자인이 이뻐요</t>
  </si>
  <si>
    <t>우산꽂이 판매</t>
  </si>
  <si>
    <t>실용성이 좋아요</t>
  </si>
  <si>
    <t>F-15</t>
  </si>
  <si>
    <t>스탠드 판매</t>
  </si>
  <si>
    <t>조명이 다양해서 좋아요</t>
  </si>
  <si>
    <t>F-16</t>
  </si>
  <si>
    <t>식탁등 판매</t>
  </si>
  <si>
    <t>적당한 불빛이 좋아요</t>
  </si>
  <si>
    <t>F-17</t>
  </si>
  <si>
    <t>행거 판매</t>
  </si>
  <si>
    <t>많이 걸어도 안떨어져요</t>
  </si>
  <si>
    <t>캔들 판매</t>
  </si>
  <si>
    <t>제 취향 아니라서 팝니다</t>
  </si>
  <si>
    <t>F-19</t>
  </si>
  <si>
    <t>책꽂이 판매</t>
  </si>
  <si>
    <t>튼튼하고 많이 꽂혀져요</t>
  </si>
  <si>
    <t>F-20</t>
  </si>
  <si>
    <t>장롱 판매</t>
  </si>
  <si>
    <t>상태 좋고 안낡았어요</t>
  </si>
  <si>
    <t>G-1</t>
  </si>
  <si>
    <t>화분 판매</t>
  </si>
  <si>
    <t>분갈이 할때 좋아요</t>
  </si>
  <si>
    <t>G-2</t>
  </si>
  <si>
    <t>식물영양제 판매</t>
  </si>
  <si>
    <t>식물에게 효능이 좋아요</t>
  </si>
  <si>
    <t>식물성장LED 판매</t>
  </si>
  <si>
    <t>햇빛이 잘 안들어도 잘 자라요</t>
  </si>
  <si>
    <t>G-4</t>
  </si>
  <si>
    <t>공기정화식물 판매</t>
  </si>
  <si>
    <t>공기가 정화되는거 같습니다</t>
  </si>
  <si>
    <t>G-5</t>
  </si>
  <si>
    <t>다육식물 판매</t>
  </si>
  <si>
    <t>귀여워요</t>
  </si>
  <si>
    <t>G-6</t>
  </si>
  <si>
    <t>미니화분 판매</t>
  </si>
  <si>
    <t>아담해서 보기 좋아요</t>
  </si>
  <si>
    <t>파티용품 판매</t>
  </si>
  <si>
    <t>친구 생일파티할때 쓰기 좋아요</t>
  </si>
  <si>
    <t>G-8</t>
  </si>
  <si>
    <t>엽서 판매</t>
  </si>
  <si>
    <t xml:space="preserve">보낼사람이 없어서 팔아요 </t>
  </si>
  <si>
    <t>G-9</t>
  </si>
  <si>
    <t>우표 판매</t>
  </si>
  <si>
    <t>쓰지 않아서 팝니다</t>
  </si>
  <si>
    <t>G-10</t>
  </si>
  <si>
    <t>퍼즐 판매</t>
  </si>
  <si>
    <t>심심할때 하기 좋아요</t>
  </si>
  <si>
    <t>G-11</t>
  </si>
  <si>
    <t>필기도구 판매</t>
  </si>
  <si>
    <t>필기가 잘되고 깨끗해요</t>
  </si>
  <si>
    <t>G-12</t>
  </si>
  <si>
    <t>스티커 판매</t>
  </si>
  <si>
    <t>다꾸하기 좋아요</t>
  </si>
  <si>
    <t>G-13</t>
  </si>
  <si>
    <t>커팅매트 판매</t>
  </si>
  <si>
    <t>직장인분들에게 딱 맞는 용품입니다</t>
  </si>
  <si>
    <t>G-14</t>
  </si>
  <si>
    <t>다이어리 판매</t>
  </si>
  <si>
    <t>기록하기에 좋아요</t>
  </si>
  <si>
    <t>G-15</t>
  </si>
  <si>
    <t>노트 판매</t>
  </si>
  <si>
    <t>공부할때 필기하기 좋고 아무거나 쓰기 좋아요</t>
  </si>
  <si>
    <t>G-16</t>
  </si>
  <si>
    <t>독서대 판매</t>
  </si>
  <si>
    <t>책 읽을때 목이 안아파서 좋아요</t>
  </si>
  <si>
    <t>G-17</t>
  </si>
  <si>
    <t>스탬프 판매</t>
  </si>
  <si>
    <t>잘 찍혀요</t>
  </si>
  <si>
    <t>G-18</t>
  </si>
  <si>
    <t>앨범 판매</t>
  </si>
  <si>
    <t>추억기록하기에 좋아요</t>
  </si>
  <si>
    <t>G-19</t>
  </si>
  <si>
    <t>보드게임 판매</t>
  </si>
  <si>
    <t>친구들이랑 쓸때 재밌게 사용할수 있습니다</t>
  </si>
  <si>
    <t>G-20</t>
  </si>
  <si>
    <t>테이프 판매</t>
  </si>
  <si>
    <t>접착력이 좋아요</t>
  </si>
  <si>
    <t>H-1</t>
  </si>
  <si>
    <t>덴탈마스크 판매</t>
  </si>
  <si>
    <t>데일리로 쓰기 좋아요</t>
  </si>
  <si>
    <t>H-2</t>
  </si>
  <si>
    <t>체온계 판매</t>
  </si>
  <si>
    <t>깨끗하고 정학한 온도가 나옵니다</t>
  </si>
  <si>
    <t>H-3</t>
  </si>
  <si>
    <t>휴대용 손소독제 판매</t>
  </si>
  <si>
    <t>휴대하면서 소독하기 좋습니다</t>
  </si>
  <si>
    <t>H-4</t>
  </si>
  <si>
    <t>소음방지귀마개 판매</t>
  </si>
  <si>
    <t>소음이 잘 안들려서 집중하기 좋습니다</t>
  </si>
  <si>
    <t>H-5</t>
  </si>
  <si>
    <t>지압기 판매</t>
  </si>
  <si>
    <t>시원해요</t>
  </si>
  <si>
    <t>H-6</t>
  </si>
  <si>
    <t>안마기 판매</t>
  </si>
  <si>
    <t>처음엔 아픈데 쓰다보면 괜찮습니다</t>
  </si>
  <si>
    <t>혈압계 판매</t>
  </si>
  <si>
    <t>혼자서도 사용이 간편해요</t>
  </si>
  <si>
    <t>체중계 판매</t>
  </si>
  <si>
    <t>정확한 체중이 나와서 짜증나요</t>
  </si>
  <si>
    <t>H-9</t>
  </si>
  <si>
    <t>만보계 판매</t>
  </si>
  <si>
    <t>옛날에 쓰던거 팝니다</t>
  </si>
  <si>
    <t>H-10</t>
  </si>
  <si>
    <t>심박계 판매</t>
  </si>
  <si>
    <t>심박수가 잘 나와요</t>
  </si>
  <si>
    <t>H-11</t>
  </si>
  <si>
    <t>거즈 판매</t>
  </si>
  <si>
    <t>양 많아요</t>
  </si>
  <si>
    <t>H-12</t>
  </si>
  <si>
    <t>붕대 판매</t>
  </si>
  <si>
    <t>압박이 잘돼요</t>
  </si>
  <si>
    <t>H-13</t>
  </si>
  <si>
    <t>다리마사지기 판매</t>
  </si>
  <si>
    <t>H-14</t>
  </si>
  <si>
    <t>발마사지기 판매</t>
  </si>
  <si>
    <t>피로가 풀립니다</t>
  </si>
  <si>
    <t>H-15</t>
  </si>
  <si>
    <t>건강슬리퍼 판매</t>
  </si>
  <si>
    <t>발에 무리가 안갑니다</t>
  </si>
  <si>
    <t>H-16</t>
  </si>
  <si>
    <t>의료용압박스타킹 판매</t>
  </si>
  <si>
    <t>다리가 잘 안부어요</t>
  </si>
  <si>
    <t>좌욕기 판매</t>
  </si>
  <si>
    <t>치질에 좋아요</t>
  </si>
  <si>
    <t>H-18</t>
  </si>
  <si>
    <t>족욕기 판매</t>
  </si>
  <si>
    <t>H-19</t>
  </si>
  <si>
    <t>찜질기 판매</t>
  </si>
  <si>
    <t>따뜻하고 쓰기 좋아요</t>
  </si>
  <si>
    <t>H-20</t>
  </si>
  <si>
    <t>찜질팩 판매</t>
  </si>
  <si>
    <t>배아플때 쓰기 좋아요</t>
  </si>
  <si>
    <t>냄비 판매</t>
  </si>
  <si>
    <t>잘 안타요</t>
  </si>
  <si>
    <t>L-2</t>
  </si>
  <si>
    <t>프라이팬 판매</t>
  </si>
  <si>
    <t>코팅이 잘 안벗겨져요</t>
  </si>
  <si>
    <t>L-3</t>
  </si>
  <si>
    <t>도마 판매</t>
  </si>
  <si>
    <t>칼자국이 잘 안남습니다</t>
  </si>
  <si>
    <t>L-4</t>
  </si>
  <si>
    <t>컵 판매</t>
  </si>
  <si>
    <t>튼튼해서 잘 안깨져요</t>
  </si>
  <si>
    <t>L-5</t>
  </si>
  <si>
    <t>식기 판매</t>
  </si>
  <si>
    <t>깨끗하고 쓰기 좋아요</t>
  </si>
  <si>
    <t>샤워기 판매</t>
  </si>
  <si>
    <t>다자인이 좋고 수압 좋아요</t>
  </si>
  <si>
    <t>L-7</t>
  </si>
  <si>
    <t>욕실장 판매</t>
  </si>
  <si>
    <t>휴지통 판매</t>
  </si>
  <si>
    <t>디자인이 좋고 수용량이 좋아요</t>
  </si>
  <si>
    <t>L-9</t>
  </si>
  <si>
    <t>먼지떨이 판매</t>
  </si>
  <si>
    <t>먼지가 잘 털어져요</t>
  </si>
  <si>
    <t>L-10</t>
  </si>
  <si>
    <t>청소포 판매</t>
  </si>
  <si>
    <t>머리카락이 잘 붙어요</t>
  </si>
  <si>
    <t>L-11</t>
  </si>
  <si>
    <t>빨래건조대 판매</t>
  </si>
  <si>
    <t>빨래가 잘 말라져요</t>
  </si>
  <si>
    <t>L-12</t>
  </si>
  <si>
    <t>가습기 판매</t>
  </si>
  <si>
    <t>목 건조할때 좋습니다</t>
  </si>
  <si>
    <t>L-13</t>
  </si>
  <si>
    <t>텀블러 판매</t>
  </si>
  <si>
    <t>보온, 보냉이 잘됩니다</t>
  </si>
  <si>
    <t>L-14</t>
  </si>
  <si>
    <t>옷걸이 판매</t>
  </si>
  <si>
    <t>옷이 안미끄러지고 잘 걸립니다</t>
  </si>
  <si>
    <t>L-15</t>
  </si>
  <si>
    <t>꽃병 판매</t>
  </si>
  <si>
    <t>꽃을 꽂았을때 이쁩니다</t>
  </si>
  <si>
    <t>L-16</t>
  </si>
  <si>
    <t>제습제 판매</t>
  </si>
  <si>
    <t>제습 잘됩니다</t>
  </si>
  <si>
    <t>L-17</t>
  </si>
  <si>
    <t>탈취제 판매</t>
  </si>
  <si>
    <t>꿉꿉한 냄새가 잘 없어집니다</t>
  </si>
  <si>
    <t>방향제 판매</t>
  </si>
  <si>
    <t>향이 은은합니다</t>
  </si>
  <si>
    <t>L-19</t>
  </si>
  <si>
    <t>면도기 판매</t>
  </si>
  <si>
    <t>상처가 잘 안나요</t>
  </si>
  <si>
    <t>L-20</t>
  </si>
  <si>
    <t>욕실매트 판매</t>
  </si>
  <si>
    <t>발이 잘 닦여요</t>
  </si>
  <si>
    <t>M-1</t>
  </si>
  <si>
    <t>셔츠 판매</t>
  </si>
  <si>
    <t>무난하게 입기 좋아요</t>
  </si>
  <si>
    <t>M-2</t>
  </si>
  <si>
    <t>니트 판매</t>
  </si>
  <si>
    <t>데이트룩으로 좋습니다</t>
  </si>
  <si>
    <t>M-3</t>
  </si>
  <si>
    <t>청바지 판매</t>
  </si>
  <si>
    <t>스판이 잘돼요</t>
  </si>
  <si>
    <t>M-4</t>
  </si>
  <si>
    <t>데님자켓 판매</t>
  </si>
  <si>
    <t>어느 계절이나 입기 좋아요</t>
  </si>
  <si>
    <t>M-5</t>
  </si>
  <si>
    <t>조거팬츠 판매</t>
  </si>
  <si>
    <t>편안하게 입기 좋고 신축성이 좋아요</t>
  </si>
  <si>
    <t>M-6</t>
  </si>
  <si>
    <t>운동화 판매</t>
  </si>
  <si>
    <t>잘 안늘어납니다</t>
  </si>
  <si>
    <t>M-7</t>
  </si>
  <si>
    <t>스니커즈 판매</t>
  </si>
  <si>
    <t>디자인이 이쁩니다</t>
  </si>
  <si>
    <t>M-8</t>
  </si>
  <si>
    <t>구두 판매</t>
  </si>
  <si>
    <t>면접갈때 좋아요</t>
  </si>
  <si>
    <t>M-9</t>
  </si>
  <si>
    <t>슬리퍼 판매</t>
  </si>
  <si>
    <t>깨끗하고 상태 좋아요</t>
  </si>
  <si>
    <t>M-10</t>
  </si>
  <si>
    <t>털신 판매</t>
  </si>
  <si>
    <t>따뜻해서 발 차가우신분이 신기 좋아요</t>
  </si>
  <si>
    <t>백팩 판매</t>
  </si>
  <si>
    <t>어깨에 무리가 안가요</t>
  </si>
  <si>
    <t>M-12</t>
  </si>
  <si>
    <t>크로스백 판매</t>
  </si>
  <si>
    <t>M-13</t>
  </si>
  <si>
    <t>노트북가방 판매</t>
  </si>
  <si>
    <t>노트북, 마우스, 충전기가 잘 들어가요</t>
  </si>
  <si>
    <t>M-14</t>
  </si>
  <si>
    <t>지갑 판매</t>
  </si>
  <si>
    <t>수납성이랑 휴대성이 좋아요</t>
  </si>
  <si>
    <t>M-15</t>
  </si>
  <si>
    <t>서류가방 판매</t>
  </si>
  <si>
    <t>서류보관하기 딱 좋습니다</t>
  </si>
  <si>
    <t>잠옷 판매</t>
  </si>
  <si>
    <t>여름에 입기 좋아요</t>
  </si>
  <si>
    <t>M-17</t>
  </si>
  <si>
    <t>시계 판매</t>
  </si>
  <si>
    <t>방수가 잘됩니다</t>
  </si>
  <si>
    <t>M-18</t>
  </si>
  <si>
    <t>반지 판매</t>
  </si>
  <si>
    <t>어느 옷에 잘 어울려요</t>
  </si>
  <si>
    <t>M-19</t>
  </si>
  <si>
    <t>팔찌 판매</t>
  </si>
  <si>
    <t>심플하고 무난해요</t>
  </si>
  <si>
    <t>M-20</t>
  </si>
  <si>
    <t>모자 판매</t>
  </si>
  <si>
    <t>대두도 쓸수 있어요</t>
  </si>
  <si>
    <t>P-1</t>
  </si>
  <si>
    <t>애견식기 판매</t>
  </si>
  <si>
    <t>깨끗하게 사용했습니다</t>
  </si>
  <si>
    <t>P-2</t>
  </si>
  <si>
    <t>어항 판매</t>
  </si>
  <si>
    <t>크기가 적당합니다</t>
  </si>
  <si>
    <t>P-3</t>
  </si>
  <si>
    <t>강아지 샴푸 판매</t>
  </si>
  <si>
    <t>향이 좋고 피부병이 잘 안걸려요</t>
  </si>
  <si>
    <t>P-4</t>
  </si>
  <si>
    <t>배변판 판매</t>
  </si>
  <si>
    <t>잘 닦여요</t>
  </si>
  <si>
    <t>P-5</t>
  </si>
  <si>
    <t>강아지 탈취제 판매</t>
  </si>
  <si>
    <t>냄새제거에 좋습니다</t>
  </si>
  <si>
    <t>P-6</t>
  </si>
  <si>
    <t>사료 판매</t>
  </si>
  <si>
    <t>제가 먹어봤는데 맛이 괜찮아요</t>
  </si>
  <si>
    <t>P-7</t>
  </si>
  <si>
    <t>강아지카시트 판매</t>
  </si>
  <si>
    <t>안전하게 같이 여행갈수 있어요</t>
  </si>
  <si>
    <t>P-8</t>
  </si>
  <si>
    <t>안전문 판매</t>
  </si>
  <si>
    <t>강아지가 안전하게 집에 있을수 있고 깨끗해요</t>
  </si>
  <si>
    <t>P-9</t>
  </si>
  <si>
    <t>노즈워크 판매</t>
  </si>
  <si>
    <t>혼자 집에 있을때 잘 사용할거 같습니다</t>
  </si>
  <si>
    <t>P-10</t>
  </si>
  <si>
    <t>강아지하네스 판매</t>
  </si>
  <si>
    <t>산책할때 유용합니다</t>
  </si>
  <si>
    <t>P-11</t>
  </si>
  <si>
    <t>강아지옷 판매</t>
  </si>
  <si>
    <t>따뜻해요</t>
  </si>
  <si>
    <t>P-12</t>
  </si>
  <si>
    <t>고양이옷 판매</t>
  </si>
  <si>
    <t>거부감 없이 잘 입어요</t>
  </si>
  <si>
    <t>P-13</t>
  </si>
  <si>
    <t>캣타워 판매</t>
  </si>
  <si>
    <t>안전하고 올라가서 쉬기 좋아요</t>
  </si>
  <si>
    <t>스크래쳐 판매</t>
  </si>
  <si>
    <t>고양이가 잘 안써서 팔아요</t>
  </si>
  <si>
    <t>고양이낚시대 판매</t>
  </si>
  <si>
    <t>위험하지 않고 색소가 나오지 않아 안전합니다</t>
  </si>
  <si>
    <t>P-16</t>
  </si>
  <si>
    <t>방석 판매</t>
  </si>
  <si>
    <t>P-17</t>
  </si>
  <si>
    <t>강아지 매트 판매</t>
  </si>
  <si>
    <t>미끄럼 방지에 좋아 안전해요</t>
  </si>
  <si>
    <t>P-18</t>
  </si>
  <si>
    <t>강아지유모차 판매</t>
  </si>
  <si>
    <t>사람들이 많은 곳을 갈때 좋아요</t>
  </si>
  <si>
    <t>P-19</t>
  </si>
  <si>
    <t>강아지가방 판매</t>
  </si>
  <si>
    <t>강아지에 딱 맞고 수용성이 좋아 지하철도 같이 탈 수 있어요</t>
  </si>
  <si>
    <t>대형견 입마개 판매</t>
  </si>
  <si>
    <t>저희 강아지에게 맞지 않아 팝니다 안전해요</t>
  </si>
  <si>
    <t>텐트 판매</t>
  </si>
  <si>
    <t>설치하기 쉽습니다</t>
  </si>
  <si>
    <t>랜턴 판매</t>
  </si>
  <si>
    <t>밝기가 적당하고 좋아요</t>
  </si>
  <si>
    <t>S-3</t>
  </si>
  <si>
    <t>침낭 판매</t>
  </si>
  <si>
    <t>아늑합니다</t>
  </si>
  <si>
    <t>S-4</t>
  </si>
  <si>
    <t>아이스박스 판매</t>
  </si>
  <si>
    <t>기능이 오래가요</t>
  </si>
  <si>
    <t>S-5</t>
  </si>
  <si>
    <t>등산모자 판매</t>
  </si>
  <si>
    <t>머리가 커도 잘 들어가요</t>
  </si>
  <si>
    <t>S-6</t>
  </si>
  <si>
    <t>등산스틱 판매</t>
  </si>
  <si>
    <t>고정이 잘 돼요</t>
  </si>
  <si>
    <t>S-7</t>
  </si>
  <si>
    <t>등산화 판매</t>
  </si>
  <si>
    <t>안미끄러집니다</t>
  </si>
  <si>
    <t>S-8</t>
  </si>
  <si>
    <t>등산가방 판매</t>
  </si>
  <si>
    <t>많이 들어가고 가벼워요</t>
  </si>
  <si>
    <t>붙이는핫팩 판매</t>
  </si>
  <si>
    <t>부착력이 좋고 뜨거워요</t>
  </si>
  <si>
    <t>S-10</t>
  </si>
  <si>
    <t>골프공 판매</t>
  </si>
  <si>
    <t>선물용으로 좋아요</t>
  </si>
  <si>
    <t>S-11</t>
  </si>
  <si>
    <t>요가링 판매</t>
  </si>
  <si>
    <t>스트레칭에 좋아요</t>
  </si>
  <si>
    <t>S-12</t>
  </si>
  <si>
    <t>아령 판매</t>
  </si>
  <si>
    <t>여자분들이 사용하기 좋은 무게입니다</t>
  </si>
  <si>
    <t>S-13</t>
  </si>
  <si>
    <t>발목보호대 판매</t>
  </si>
  <si>
    <t>발목이 잘 감싸집니다</t>
  </si>
  <si>
    <t>S-14</t>
  </si>
  <si>
    <t>배드민턴라켓 판매</t>
  </si>
  <si>
    <t>잘 쳐집니다</t>
  </si>
  <si>
    <t>배드민턴가방 판매</t>
  </si>
  <si>
    <t>라켓과 물통이 다 들어가도 넉넉해요</t>
  </si>
  <si>
    <t>S-16</t>
  </si>
  <si>
    <t>셔틀콕 판매</t>
  </si>
  <si>
    <t>밤에도 잘 보입니다</t>
  </si>
  <si>
    <t>S-17</t>
  </si>
  <si>
    <t>낚시릴 판매</t>
  </si>
  <si>
    <t>많이 안써서 튼튼해요</t>
  </si>
  <si>
    <t>S-18</t>
  </si>
  <si>
    <t>낚싯대 판매</t>
  </si>
  <si>
    <t>초보자들에게도 좋아요</t>
  </si>
  <si>
    <t>낚싯줄 판매</t>
  </si>
  <si>
    <t>너무 많아서 팔아요</t>
  </si>
  <si>
    <t>전동킥보드 판매</t>
  </si>
  <si>
    <t>출퇴근하기 좋아요</t>
  </si>
  <si>
    <t>T-1</t>
  </si>
  <si>
    <t>더보이즈 앨범 판매</t>
  </si>
  <si>
    <t>탈덕해서 팔아요</t>
  </si>
  <si>
    <t>T-2</t>
  </si>
  <si>
    <t>엔시티 앨범 판매</t>
  </si>
  <si>
    <t>포카없이 앨범만 팔아요</t>
  </si>
  <si>
    <t>T-3</t>
  </si>
  <si>
    <t>세븐틴 앨범 판매</t>
  </si>
  <si>
    <t>개인사정으로 팝니다</t>
  </si>
  <si>
    <t>T-4</t>
  </si>
  <si>
    <t>케플러 앨범 판매</t>
  </si>
  <si>
    <t>이사가는김에 처분합니다</t>
  </si>
  <si>
    <t>T-5</t>
  </si>
  <si>
    <t>오마이걸 앨범 판매</t>
  </si>
  <si>
    <t>옛날에 샀던 앨범 팔아요</t>
  </si>
  <si>
    <t>T-6</t>
  </si>
  <si>
    <t>비투비 앨범 판매</t>
  </si>
  <si>
    <t>처분겸 팝니다</t>
  </si>
  <si>
    <t>T-7</t>
  </si>
  <si>
    <t>몬스타엑스 앨범 판매</t>
  </si>
  <si>
    <t>아이유 앨범 판매</t>
  </si>
  <si>
    <t>미개봉 팔아요</t>
  </si>
  <si>
    <t>T-9</t>
  </si>
  <si>
    <t>아이브 앨범 판매</t>
  </si>
  <si>
    <t>하자 없어요</t>
  </si>
  <si>
    <t>엔하이픈 앨범 판매</t>
  </si>
  <si>
    <t>한번 보고 안본 새제품 입니다</t>
  </si>
  <si>
    <t>T-11</t>
  </si>
  <si>
    <t>시나공컴활1급 판매</t>
  </si>
  <si>
    <t>깨끗하고 사용감 없어요</t>
  </si>
  <si>
    <t>T-12</t>
  </si>
  <si>
    <t>좀비고 만화책 판매</t>
  </si>
  <si>
    <t>동생이 사고 안봐서 팔아요</t>
  </si>
  <si>
    <t>T-13</t>
  </si>
  <si>
    <t>제태크책 판매</t>
  </si>
  <si>
    <t>일주일 보고 안봐서 팔아요</t>
  </si>
  <si>
    <t>T-14</t>
  </si>
  <si>
    <t>박문각공인중개사 판매</t>
  </si>
  <si>
    <t>합격해서 팔아요</t>
  </si>
  <si>
    <t>T-15</t>
  </si>
  <si>
    <t>기계설계산업기사책 판매</t>
  </si>
  <si>
    <t>안써서 깨끗한 상태로 팔아요</t>
  </si>
  <si>
    <t>T-16</t>
  </si>
  <si>
    <t>건설안전기사 판매</t>
  </si>
  <si>
    <t>너무 안붙어서 팔아요</t>
  </si>
  <si>
    <t>T-17</t>
  </si>
  <si>
    <t>천재교육문학자습서 판매</t>
  </si>
  <si>
    <t>깨끗합니다</t>
  </si>
  <si>
    <t>수학의정석 판매</t>
  </si>
  <si>
    <t>구김 없고 고등학교때 써서 필요없어 팝니다</t>
  </si>
  <si>
    <t>T-19</t>
  </si>
  <si>
    <t>와이책 판매</t>
  </si>
  <si>
    <t>유익해요</t>
  </si>
  <si>
    <t>T-20</t>
  </si>
  <si>
    <t>양식조리기능사책 판매</t>
  </si>
  <si>
    <t>독학하기 좋습니다</t>
  </si>
  <si>
    <t>원피스 판매</t>
  </si>
  <si>
    <t>편하게 입기 좋습니다</t>
  </si>
  <si>
    <t>W-2</t>
  </si>
  <si>
    <t>무난하게 걸치기 좋아요</t>
  </si>
  <si>
    <t>W-3</t>
  </si>
  <si>
    <t>반바지 판매</t>
  </si>
  <si>
    <t>밖에 나갈때 입기 좋아요</t>
  </si>
  <si>
    <t>W-4</t>
  </si>
  <si>
    <t>바람막이 판매</t>
  </si>
  <si>
    <t>디자인이 좋고 깨끗해요</t>
  </si>
  <si>
    <t>정장 판매</t>
  </si>
  <si>
    <t>하객룩으로 좋습니다</t>
  </si>
  <si>
    <t>W-6</t>
  </si>
  <si>
    <t>임산부원피스 판매</t>
  </si>
  <si>
    <t>W-7</t>
  </si>
  <si>
    <t>쿠션감이 좋아요</t>
  </si>
  <si>
    <t>W-8</t>
  </si>
  <si>
    <t>깔끔해요</t>
  </si>
  <si>
    <t>W-9</t>
  </si>
  <si>
    <t>뮬슬리퍼 판매</t>
  </si>
  <si>
    <t>편해요</t>
  </si>
  <si>
    <t>W-10</t>
  </si>
  <si>
    <t>샌들 판매</t>
  </si>
  <si>
    <t>무난합니다 사용감 없어요</t>
  </si>
  <si>
    <t>W-11</t>
  </si>
  <si>
    <t>대충 신기 좋아요</t>
  </si>
  <si>
    <t>W-12</t>
  </si>
  <si>
    <t>실내화 판매</t>
  </si>
  <si>
    <t>회사안에서 신기 좋아요</t>
  </si>
  <si>
    <t>W-13</t>
  </si>
  <si>
    <t>부츠 판매</t>
  </si>
  <si>
    <t>아무 옷에나 잘 어울립니다</t>
  </si>
  <si>
    <t>W-14</t>
  </si>
  <si>
    <t>워커 판매</t>
  </si>
  <si>
    <t>W-15</t>
  </si>
  <si>
    <t>신발끈 판매</t>
  </si>
  <si>
    <t>어울리는 신발이 없어 팝니다</t>
  </si>
  <si>
    <t>W-16</t>
  </si>
  <si>
    <t>크록스지비츠 판매</t>
  </si>
  <si>
    <t>W-17</t>
  </si>
  <si>
    <t>단화 판매</t>
  </si>
  <si>
    <t>편합니다</t>
  </si>
  <si>
    <t>W-18</t>
  </si>
  <si>
    <t>아무거나 잘 들어가요</t>
  </si>
  <si>
    <t>W-19</t>
  </si>
  <si>
    <t>W-20</t>
  </si>
  <si>
    <t>에코백 판매</t>
  </si>
  <si>
    <t>장바구니로 좋아요</t>
  </si>
  <si>
    <t>아기띠 판매</t>
  </si>
  <si>
    <t>아이가 다 커서 팝니다</t>
  </si>
  <si>
    <t>놀이방매트 판매</t>
  </si>
  <si>
    <t>하자 부분 몇 군데 있어서 가격 많이 내렸고 관리 잘해서 깨끗해요</t>
  </si>
  <si>
    <t>Y-3</t>
  </si>
  <si>
    <t>모서리보호대 판매</t>
  </si>
  <si>
    <t>부착이 잘되고 안전해요 사용감 없어요</t>
  </si>
  <si>
    <t>Y-4</t>
  </si>
  <si>
    <t>문닫힘방지 판매</t>
  </si>
  <si>
    <t>디자인도 괜찮고 상태 좋아요</t>
  </si>
  <si>
    <t>Y-5</t>
  </si>
  <si>
    <t>카시트 판매</t>
  </si>
  <si>
    <t>Y-6</t>
  </si>
  <si>
    <t>유모차 판매</t>
  </si>
  <si>
    <t>안전하고 수납이 좋아요</t>
  </si>
  <si>
    <t>Y-7</t>
  </si>
  <si>
    <t>삼국지만화책 판매</t>
  </si>
  <si>
    <t>어릴때 읽던거라 팝니다 유익해요 ^^</t>
  </si>
  <si>
    <t>Y-8</t>
  </si>
  <si>
    <t>디딤대 판매</t>
  </si>
  <si>
    <t>안전하고 안미끄러집니다</t>
  </si>
  <si>
    <t>Y-9</t>
  </si>
  <si>
    <t>턱받이 판매</t>
  </si>
  <si>
    <t>부드럽고 살이 안쓸려서 사용하기 좋습니다</t>
  </si>
  <si>
    <t>Y-10</t>
  </si>
  <si>
    <t>연습용젓가락 판매</t>
  </si>
  <si>
    <t>사용하지 않은 새 제품 입니다</t>
  </si>
  <si>
    <t>Y-11</t>
  </si>
  <si>
    <t>수유쿠션 판매</t>
  </si>
  <si>
    <t>크기도 적당하고 깨끗하게 사용했습니다</t>
  </si>
  <si>
    <t>Y-12</t>
  </si>
  <si>
    <t>분유케이스 판매</t>
  </si>
  <si>
    <t>깔끔하고 실용성이 좋습니다</t>
  </si>
  <si>
    <t>Y-13</t>
  </si>
  <si>
    <t>보틀워머 판매</t>
  </si>
  <si>
    <t>사용이 간편합니다</t>
  </si>
  <si>
    <t>Y-14</t>
  </si>
  <si>
    <t>분유포트 판매</t>
  </si>
  <si>
    <t>Y-15</t>
  </si>
  <si>
    <t>유모차모빌 판매</t>
  </si>
  <si>
    <t>사용감은 있으나 잘 돌아가요</t>
  </si>
  <si>
    <t>Y-16</t>
  </si>
  <si>
    <t>기저귀가방 판매</t>
  </si>
  <si>
    <t>디자인이 촌스럽지 않고 많이 들어갑니다</t>
  </si>
  <si>
    <t>Y-17</t>
  </si>
  <si>
    <t>젖병소독기 판매</t>
  </si>
  <si>
    <t>소독이 잘되고 안전합니다</t>
  </si>
  <si>
    <t>Y-18</t>
  </si>
  <si>
    <t>상태 괜찮습니다</t>
  </si>
  <si>
    <t>Y-19</t>
  </si>
  <si>
    <t>무릎보호대 판매</t>
  </si>
  <si>
    <t>엄마에게 좋습니다</t>
  </si>
  <si>
    <t>Y-20</t>
  </si>
  <si>
    <t>머리보호대 판매</t>
  </si>
  <si>
    <t>아기가 다 커서 팝니다</t>
  </si>
  <si>
    <t>구매날짜</t>
  </si>
  <si>
    <t>매너온도</t>
  </si>
  <si>
    <t>평가</t>
  </si>
  <si>
    <t>점수</t>
  </si>
  <si>
    <t>친절하고 매너가 좋아요</t>
  </si>
  <si>
    <t>응답이 빨라요</t>
  </si>
  <si>
    <t>시간 약속을 잘 지켜요</t>
  </si>
  <si>
    <t>상품설명이 자세해요</t>
  </si>
  <si>
    <t>좋은 상품을 저렴하게 판매해요</t>
  </si>
  <si>
    <t>친절한 거래 감사합니다.</t>
  </si>
  <si>
    <t>좋은제품 감사합니다</t>
  </si>
  <si>
    <t>잘 사용할게요</t>
  </si>
  <si>
    <t>포장까지 해서 주시고 완전 감동이에요</t>
  </si>
  <si>
    <t>생각한것보다 너무 별로에요</t>
  </si>
  <si>
    <t>더 싸게 팔아요 될 것 같은데..</t>
  </si>
  <si>
    <t>쿨거래 감사드려요</t>
  </si>
  <si>
    <t>좋은제품 감사합니다.</t>
  </si>
  <si>
    <t>감사합니다. 좋은 거래하세요.</t>
  </si>
  <si>
    <t>너무 짱짱 친절하고 너무 감사합니다.</t>
  </si>
  <si>
    <t>너무 만족스러워요!!</t>
  </si>
  <si>
    <t>쿨거래 감사합니다.~^^</t>
  </si>
  <si>
    <t>약속시간 좀 지키세요</t>
  </si>
  <si>
    <t>늦은시간에 거래해주셔서 감사해요</t>
  </si>
  <si>
    <t>제품상태가 완전 별로에요</t>
  </si>
  <si>
    <t>음료수까지 주시고 감사합니다.</t>
  </si>
  <si>
    <t>감사합니다. 이쁘게 사용할게요</t>
  </si>
  <si>
    <t>답변 좀 빨리해주세요</t>
  </si>
  <si>
    <t>거래횟수</t>
    <phoneticPr fontId="1" type="noConversion"/>
  </si>
  <si>
    <t>매너온도</t>
    <phoneticPr fontId="1" type="noConversion"/>
  </si>
  <si>
    <t>상품개수</t>
    <phoneticPr fontId="1" type="noConversion"/>
  </si>
  <si>
    <t>주</t>
    <phoneticPr fontId="1" type="noConversion"/>
  </si>
  <si>
    <t>온도</t>
    <phoneticPr fontId="1" type="noConversion"/>
  </si>
  <si>
    <t>행 레이블</t>
  </si>
  <si>
    <t>34주</t>
  </si>
  <si>
    <t>35주</t>
  </si>
  <si>
    <t>36주</t>
  </si>
  <si>
    <t>총합계</t>
  </si>
  <si>
    <t>개수 : 번호</t>
  </si>
  <si>
    <t>인기도</t>
    <phoneticPr fontId="1" type="noConversion"/>
  </si>
  <si>
    <t>판매완료</t>
  </si>
  <si>
    <t>판매중</t>
  </si>
  <si>
    <t>회원명</t>
  </si>
  <si>
    <t>열1</t>
    <phoneticPr fontId="1" type="noConversion"/>
  </si>
  <si>
    <t>열2</t>
    <phoneticPr fontId="1" type="noConversion"/>
  </si>
  <si>
    <t>열3</t>
    <phoneticPr fontId="1" type="noConversion"/>
  </si>
  <si>
    <t>열4</t>
    <phoneticPr fontId="1" type="noConversion"/>
  </si>
  <si>
    <t>충무동</t>
    <phoneticPr fontId="1" type="noConversion"/>
  </si>
  <si>
    <t>010-2222-7666</t>
    <phoneticPr fontId="1" type="noConversion"/>
  </si>
  <si>
    <t>성산구</t>
    <phoneticPr fontId="1" type="noConversion"/>
  </si>
  <si>
    <t>중앙동</t>
    <phoneticPr fontId="1" type="noConversion"/>
  </si>
  <si>
    <t>Wldbs11!</t>
    <phoneticPr fontId="1" type="noConversion"/>
  </si>
  <si>
    <t>wldbs11</t>
    <phoneticPr fontId="1" type="noConversion"/>
  </si>
  <si>
    <t>Gkwls7!</t>
    <phoneticPr fontId="1" type="noConversion"/>
  </si>
  <si>
    <t>2,10,11</t>
    <phoneticPr fontId="1" type="noConversion"/>
  </si>
  <si>
    <t>카테고리</t>
    <phoneticPr fontId="1" type="noConversion"/>
  </si>
  <si>
    <t>글 제목</t>
    <phoneticPr fontId="1" type="noConversion"/>
  </si>
  <si>
    <t>카테고리</t>
    <phoneticPr fontId="1" type="noConversion"/>
  </si>
  <si>
    <t>구</t>
    <phoneticPr fontId="1" type="noConversion"/>
  </si>
  <si>
    <t>동</t>
    <phoneticPr fontId="1" type="noConversion"/>
  </si>
  <si>
    <t>회원번호</t>
    <phoneticPr fontId="1" type="noConversion"/>
  </si>
  <si>
    <t>판매 여부</t>
    <phoneticPr fontId="1" type="noConversion"/>
  </si>
  <si>
    <t>구</t>
    <phoneticPr fontId="1" type="noConversion"/>
  </si>
  <si>
    <t>동</t>
    <phoneticPr fontId="1" type="noConversion"/>
  </si>
  <si>
    <t xml:space="preserve"> </t>
    <phoneticPr fontId="1" type="noConversion"/>
  </si>
  <si>
    <t>선택상품</t>
    <phoneticPr fontId="1" type="noConversion"/>
  </si>
  <si>
    <t>관심여부</t>
    <phoneticPr fontId="1" type="noConversion"/>
  </si>
  <si>
    <t>판매자</t>
    <phoneticPr fontId="1" type="noConversion"/>
  </si>
  <si>
    <t>수정상품</t>
    <phoneticPr fontId="1" type="noConversion"/>
  </si>
  <si>
    <t>D-1</t>
    <phoneticPr fontId="1" type="noConversion"/>
  </si>
  <si>
    <t>산지 1개월 밖에 안된 새제품입니다</t>
    <phoneticPr fontId="1" type="noConversion"/>
  </si>
  <si>
    <t>B-6</t>
    <phoneticPr fontId="1" type="noConversion"/>
  </si>
  <si>
    <t>판매자</t>
    <phoneticPr fontId="1" type="noConversion"/>
  </si>
  <si>
    <t>평가번호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</si>
</sst>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#;;#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 indent="1"/>
    </xf>
    <xf numFmtId="0" fontId="0" fillId="2" borderId="0" xfId="0" applyFill="1" applyAlignment="1">
      <alignment horizontal="left" vertical="center"/>
    </xf>
    <xf numFmtId="0" fontId="0" fillId="2" borderId="0" xfId="0" applyNumberFormat="1" applyFill="1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pivotButton="1" applyAlignment="1">
      <alignment horizontal="left" vertical="center"/>
    </xf>
    <xf numFmtId="176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22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</cellXfs>
  <cellStyles count="1">
    <cellStyle name="표준" xfId="0" builtinId="0"/>
  </cellStyles>
  <dxfs count="69">
    <dxf>
      <font>
        <strike/>
        <u val="none"/>
        <color rgb="FFFF000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76" formatCode="#;;#"/>
    </dxf>
    <dxf>
      <numFmt numFmtId="176" formatCode="#;;#"/>
    </dxf>
    <dxf>
      <numFmt numFmtId="176" formatCode="#;;#"/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7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/>
        <u val="none"/>
        <color rgb="FFFF000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theme="0"/>
      </font>
      <fill>
        <patternFill>
          <bgColor rgb="FFC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표 스타일 1" pivot="0" count="2">
      <tableStyleElement type="wholeTable" dxfId="68"/>
      <tableStyleElement type="headerRow" dxfId="67"/>
    </tableStyle>
  </tableStyles>
  <colors>
    <mruColors>
      <color rgb="FFF659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microsoft.com/office/2011/relationships/chartColorStyle" Target="colors1.xml"/><Relationship Id="rId1" Type="http://schemas.microsoft.com/office/2011/relationships/chartStyle" Target="style1.xml"/><Relationship Id="rId6" Type="http://schemas.openxmlformats.org/officeDocument/2006/relationships/image" Target="../media/image24.png"/><Relationship Id="rId5" Type="http://schemas.openxmlformats.org/officeDocument/2006/relationships/image" Target="../media/image23.png"/><Relationship Id="rId4" Type="http://schemas.openxmlformats.org/officeDocument/2006/relationships/image" Target="../media/image22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g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[전국2022.xlsm]거래분석!피벗 테이블2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거래 분석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threePt" dir="t"/>
          </a:scene3d>
          <a:sp3d prstMaterial="matte">
            <a:bevelB w="12700" h="0"/>
          </a:sp3d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threePt" dir="t"/>
          </a:scene3d>
          <a:sp3d prstMaterial="matte">
            <a:bevelB w="6350" h="0"/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blipFill>
            <a:blip xmlns:r="http://schemas.openxmlformats.org/officeDocument/2006/relationships" r:embed="rId3"/>
            <a:stretch>
              <a:fillRect/>
            </a:stretch>
          </a:blipFill>
          <a:ln cap="rnd">
            <a:noFill/>
          </a:ln>
          <a:effectLst/>
        </c:spPr>
        <c:marker>
          <c:symbol val="none"/>
        </c:marker>
      </c:pivotFmt>
      <c:pivotFmt>
        <c:idx val="8"/>
        <c:spPr>
          <a:blipFill>
            <a:blip xmlns:r="http://schemas.openxmlformats.org/officeDocument/2006/relationships" r:embed="rId4"/>
            <a:stretch>
              <a:fillRect/>
            </a:stretch>
          </a:blipFill>
          <a:ln cap="rnd">
            <a:noFill/>
          </a:ln>
          <a:effectLst/>
        </c:spPr>
      </c:pivotFmt>
      <c:pivotFmt>
        <c:idx val="9"/>
        <c:spPr>
          <a:blipFill>
            <a:blip xmlns:r="http://schemas.openxmlformats.org/officeDocument/2006/relationships" r:embed="rId5"/>
            <a:stretch>
              <a:fillRect/>
            </a:stretch>
          </a:blipFill>
          <a:ln cap="rnd">
            <a:noFill/>
          </a:ln>
          <a:effectLst/>
        </c:spPr>
      </c:pivotFmt>
      <c:pivotFmt>
        <c:idx val="10"/>
        <c:spPr>
          <a:blipFill>
            <a:blip xmlns:r="http://schemas.openxmlformats.org/officeDocument/2006/relationships" r:embed="rId6"/>
            <a:stretch>
              <a:fillRect/>
            </a:stretch>
          </a:blipFill>
          <a:ln cap="rnd"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거래분석!$F$3</c:f>
              <c:strCache>
                <c:ptCount val="1"/>
                <c:pt idx="0">
                  <c:v>요약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 cap="rnd"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cap="rnd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6CB-4DBB-840F-8F17E0E8A330}"/>
              </c:ext>
            </c:extLst>
          </c:dPt>
          <c:dPt>
            <c:idx val="1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cap="rnd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6CB-4DBB-840F-8F17E0E8A330}"/>
              </c:ext>
            </c:extLst>
          </c:dPt>
          <c:dPt>
            <c:idx val="2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cap="rnd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6CB-4DBB-840F-8F17E0E8A330}"/>
              </c:ext>
            </c:extLst>
          </c:dPt>
          <c:cat>
            <c:strRef>
              <c:f>거래분석!$E$4:$E$7</c:f>
              <c:strCache>
                <c:ptCount val="3"/>
                <c:pt idx="0">
                  <c:v>34주</c:v>
                </c:pt>
                <c:pt idx="1">
                  <c:v>35주</c:v>
                </c:pt>
                <c:pt idx="2">
                  <c:v>36주</c:v>
                </c:pt>
              </c:strCache>
            </c:strRef>
          </c:cat>
          <c:val>
            <c:numRef>
              <c:f>거래분석!$F$4:$F$7</c:f>
              <c:numCache>
                <c:formatCode>General</c:formatCode>
                <c:ptCount val="3"/>
                <c:pt idx="0">
                  <c:v>25</c:v>
                </c:pt>
                <c:pt idx="1">
                  <c:v>14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CB-4DBB-840F-8F17E0E8A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7290224"/>
        <c:axId val="517290552"/>
      </c:barChart>
      <c:catAx>
        <c:axId val="517290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7290552"/>
        <c:crosses val="autoZero"/>
        <c:auto val="1"/>
        <c:lblAlgn val="ctr"/>
        <c:lblOffset val="100"/>
        <c:noMultiLvlLbl val="0"/>
      </c:catAx>
      <c:valAx>
        <c:axId val="517290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7290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b="1"/>
              <a:t>인기 상품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 w="15875">
              <a:solidFill>
                <a:srgbClr val="C00000"/>
              </a:solidFill>
              <a:prstDash val="dash"/>
            </a:ln>
            <a:effectLst/>
          </c:spPr>
          <c:invertIfNegative val="0"/>
          <c:pictureOptions>
            <c:pictureFormat val="stack"/>
          </c:pictureOptions>
          <c:cat>
            <c:strRef>
              <c:f>인기상품!$B$2:$B$6</c:f>
              <c:strCache>
                <c:ptCount val="5"/>
                <c:pt idx="0">
                  <c:v>냄비 판매</c:v>
                </c:pt>
                <c:pt idx="1">
                  <c:v>미스트 판매</c:v>
                </c:pt>
                <c:pt idx="2">
                  <c:v>수학의정석 판매</c:v>
                </c:pt>
                <c:pt idx="3">
                  <c:v>바디로션 판매</c:v>
                </c:pt>
                <c:pt idx="4">
                  <c:v>건조기 판매</c:v>
                </c:pt>
              </c:strCache>
            </c:strRef>
          </c:cat>
          <c:val>
            <c:numRef>
              <c:f>인기상품!$C$2:$C$6</c:f>
              <c:numCache>
                <c:formatCode>General</c:formatCode>
                <c:ptCount val="5"/>
                <c:pt idx="0">
                  <c:v>4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A6-4D2A-9799-2D7E7E360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531960680"/>
        <c:axId val="531966256"/>
      </c:barChart>
      <c:catAx>
        <c:axId val="5319606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31966256"/>
        <c:crosses val="autoZero"/>
        <c:auto val="1"/>
        <c:lblAlgn val="ctr"/>
        <c:lblOffset val="100"/>
        <c:noMultiLvlLbl val="0"/>
      </c:catAx>
      <c:valAx>
        <c:axId val="531966256"/>
        <c:scaling>
          <c:orientation val="minMax"/>
          <c:max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31960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jpeg"/><Relationship Id="rId1" Type="http://schemas.openxmlformats.org/officeDocument/2006/relationships/image" Target="../media/image10.jp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jpeg"/><Relationship Id="rId2" Type="http://schemas.openxmlformats.org/officeDocument/2006/relationships/image" Target="../media/image18.jpeg"/><Relationship Id="rId1" Type="http://schemas.openxmlformats.org/officeDocument/2006/relationships/image" Target="../media/image17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174583</xdr:colOff>
      <xdr:row>0</xdr:row>
      <xdr:rowOff>202869</xdr:rowOff>
    </xdr:from>
    <xdr:ext cx="3803735" cy="1289712"/>
    <xdr:sp macro="" textlink="">
      <xdr:nvSpPr>
        <xdr:cNvPr id="2" name="직사각형 1"/>
        <xdr:cNvSpPr/>
      </xdr:nvSpPr>
      <xdr:spPr>
        <a:xfrm>
          <a:off x="2231983" y="202869"/>
          <a:ext cx="3803735" cy="128971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ko-KR" altLang="en-US" sz="5400" b="1" cap="none" spc="0">
              <a:ln w="22225">
                <a:solidFill>
                  <a:srgbClr val="F65928"/>
                </a:solidFill>
                <a:prstDash val="solid"/>
              </a:ln>
              <a:solidFill>
                <a:srgbClr val="FF0000"/>
              </a:solidFill>
              <a:effectLst>
                <a:glow rad="228600">
                  <a:srgbClr val="C00000">
                    <a:alpha val="40000"/>
                  </a:srgbClr>
                </a:glow>
              </a:effectLst>
            </a:rPr>
            <a:t>사탕무 마켓</a:t>
          </a:r>
          <a:endParaRPr lang="en-US" altLang="ko-KR" sz="5400" b="1" cap="none" spc="0">
            <a:ln w="22225">
              <a:solidFill>
                <a:srgbClr val="F65928"/>
              </a:solidFill>
              <a:prstDash val="solid"/>
            </a:ln>
            <a:solidFill>
              <a:srgbClr val="FF0000"/>
            </a:solidFill>
            <a:effectLst>
              <a:glow rad="228600">
                <a:srgbClr val="C00000">
                  <a:alpha val="40000"/>
                </a:srgbClr>
              </a:glow>
            </a:effectLst>
          </a:endParaRPr>
        </a:p>
      </xdr:txBody>
    </xdr:sp>
    <xdr:clientData/>
  </xdr:oneCellAnchor>
  <xdr:twoCellAnchor editAs="oneCell">
    <xdr:from>
      <xdr:col>0</xdr:col>
      <xdr:colOff>85725</xdr:colOff>
      <xdr:row>7</xdr:row>
      <xdr:rowOff>47625</xdr:rowOff>
    </xdr:from>
    <xdr:to>
      <xdr:col>3</xdr:col>
      <xdr:colOff>593912</xdr:colOff>
      <xdr:row>19</xdr:row>
      <xdr:rowOff>99019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538007"/>
          <a:ext cx="2558863" cy="2606336"/>
        </a:xfrm>
        <a:prstGeom prst="rect">
          <a:avLst/>
        </a:prstGeom>
      </xdr:spPr>
    </xdr:pic>
    <xdr:clientData/>
  </xdr:twoCellAnchor>
  <xdr:twoCellAnchor editAs="oneCell">
    <xdr:from>
      <xdr:col>11</xdr:col>
      <xdr:colOff>168088</xdr:colOff>
      <xdr:row>1</xdr:row>
      <xdr:rowOff>156882</xdr:rowOff>
    </xdr:from>
    <xdr:to>
      <xdr:col>12</xdr:col>
      <xdr:colOff>475129</xdr:colOff>
      <xdr:row>6</xdr:row>
      <xdr:rowOff>65544</xdr:rowOff>
    </xdr:to>
    <xdr:pic macro="[0]!Sheet1.은행img_Click">
      <xdr:nvPicPr>
        <xdr:cNvPr id="13" name="은행img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7235" y="369794"/>
          <a:ext cx="990600" cy="9732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9</xdr:row>
          <xdr:rowOff>123825</xdr:rowOff>
        </xdr:from>
        <xdr:to>
          <xdr:col>6</xdr:col>
          <xdr:colOff>161925</xdr:colOff>
          <xdr:row>11</xdr:row>
          <xdr:rowOff>152400</xdr:rowOff>
        </xdr:to>
        <xdr:sp macro="" textlink="">
          <xdr:nvSpPr>
            <xdr:cNvPr id="1034" name="CommandButton1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9</xdr:row>
          <xdr:rowOff>123825</xdr:rowOff>
        </xdr:from>
        <xdr:to>
          <xdr:col>8</xdr:col>
          <xdr:colOff>495300</xdr:colOff>
          <xdr:row>11</xdr:row>
          <xdr:rowOff>152400</xdr:rowOff>
        </xdr:to>
        <xdr:sp macro="" textlink="">
          <xdr:nvSpPr>
            <xdr:cNvPr id="1038" name="CommandButton2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12</xdr:row>
          <xdr:rowOff>114300</xdr:rowOff>
        </xdr:from>
        <xdr:to>
          <xdr:col>6</xdr:col>
          <xdr:colOff>161925</xdr:colOff>
          <xdr:row>14</xdr:row>
          <xdr:rowOff>142875</xdr:rowOff>
        </xdr:to>
        <xdr:sp macro="" textlink="">
          <xdr:nvSpPr>
            <xdr:cNvPr id="1039" name="CommandButton3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12</xdr:row>
          <xdr:rowOff>114300</xdr:rowOff>
        </xdr:from>
        <xdr:to>
          <xdr:col>8</xdr:col>
          <xdr:colOff>495300</xdr:colOff>
          <xdr:row>14</xdr:row>
          <xdr:rowOff>142875</xdr:rowOff>
        </xdr:to>
        <xdr:sp macro="" textlink="">
          <xdr:nvSpPr>
            <xdr:cNvPr id="1040" name="CommandButton4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15</xdr:row>
          <xdr:rowOff>123825</xdr:rowOff>
        </xdr:from>
        <xdr:to>
          <xdr:col>6</xdr:col>
          <xdr:colOff>161925</xdr:colOff>
          <xdr:row>17</xdr:row>
          <xdr:rowOff>152400</xdr:rowOff>
        </xdr:to>
        <xdr:sp macro="" textlink="">
          <xdr:nvSpPr>
            <xdr:cNvPr id="1041" name="CommandButton5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15</xdr:row>
          <xdr:rowOff>123825</xdr:rowOff>
        </xdr:from>
        <xdr:to>
          <xdr:col>8</xdr:col>
          <xdr:colOff>495300</xdr:colOff>
          <xdr:row>17</xdr:row>
          <xdr:rowOff>152400</xdr:rowOff>
        </xdr:to>
        <xdr:sp macro="" textlink="">
          <xdr:nvSpPr>
            <xdr:cNvPr id="1042" name="CommandButton6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18</xdr:row>
          <xdr:rowOff>114300</xdr:rowOff>
        </xdr:from>
        <xdr:to>
          <xdr:col>6</xdr:col>
          <xdr:colOff>161925</xdr:colOff>
          <xdr:row>20</xdr:row>
          <xdr:rowOff>142875</xdr:rowOff>
        </xdr:to>
        <xdr:sp macro="" textlink="">
          <xdr:nvSpPr>
            <xdr:cNvPr id="1043" name="CommandButton7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18</xdr:row>
          <xdr:rowOff>114300</xdr:rowOff>
        </xdr:from>
        <xdr:to>
          <xdr:col>8</xdr:col>
          <xdr:colOff>495300</xdr:colOff>
          <xdr:row>20</xdr:row>
          <xdr:rowOff>142875</xdr:rowOff>
        </xdr:to>
        <xdr:sp macro="" textlink="">
          <xdr:nvSpPr>
            <xdr:cNvPr id="1044" name="CommandButton8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3</xdr:row>
          <xdr:rowOff>57150</xdr:rowOff>
        </xdr:from>
        <xdr:to>
          <xdr:col>11</xdr:col>
          <xdr:colOff>66675</xdr:colOff>
          <xdr:row>5</xdr:row>
          <xdr:rowOff>85725</xdr:rowOff>
        </xdr:to>
        <xdr:sp macro="" textlink="">
          <xdr:nvSpPr>
            <xdr:cNvPr id="1045" name="CommandButton9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476250</xdr:colOff>
          <xdr:row>2</xdr:row>
          <xdr:rowOff>114300</xdr:rowOff>
        </xdr:from>
        <xdr:to>
          <xdr:col>8</xdr:col>
          <xdr:colOff>333375</xdr:colOff>
          <xdr:row>4</xdr:row>
          <xdr:rowOff>95250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0</xdr:row>
          <xdr:rowOff>38100</xdr:rowOff>
        </xdr:from>
        <xdr:to>
          <xdr:col>6</xdr:col>
          <xdr:colOff>47625</xdr:colOff>
          <xdr:row>2</xdr:row>
          <xdr:rowOff>19050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438150</xdr:colOff>
          <xdr:row>0</xdr:row>
          <xdr:rowOff>85725</xdr:rowOff>
        </xdr:from>
        <xdr:to>
          <xdr:col>8</xdr:col>
          <xdr:colOff>390525</xdr:colOff>
          <xdr:row>2</xdr:row>
          <xdr:rowOff>66675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85725</xdr:rowOff>
        </xdr:from>
        <xdr:to>
          <xdr:col>5</xdr:col>
          <xdr:colOff>85725</xdr:colOff>
          <xdr:row>2</xdr:row>
          <xdr:rowOff>66675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</xdr:row>
          <xdr:rowOff>200025</xdr:rowOff>
        </xdr:from>
        <xdr:to>
          <xdr:col>10</xdr:col>
          <xdr:colOff>352425</xdr:colOff>
          <xdr:row>3</xdr:row>
          <xdr:rowOff>180975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1</xdr:row>
      <xdr:rowOff>12700</xdr:rowOff>
    </xdr:from>
    <xdr:to>
      <xdr:col>1</xdr:col>
      <xdr:colOff>533400</xdr:colOff>
      <xdr:row>1</xdr:row>
      <xdr:rowOff>393700</xdr:rowOff>
    </xdr:to>
    <xdr:pic>
      <xdr:nvPicPr>
        <xdr:cNvPr id="7913" name="그림 7912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222250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2</xdr:row>
      <xdr:rowOff>12700</xdr:rowOff>
    </xdr:from>
    <xdr:to>
      <xdr:col>1</xdr:col>
      <xdr:colOff>533400</xdr:colOff>
      <xdr:row>2</xdr:row>
      <xdr:rowOff>393700</xdr:rowOff>
    </xdr:to>
    <xdr:pic>
      <xdr:nvPicPr>
        <xdr:cNvPr id="7914" name="그림 7913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631825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3</xdr:row>
      <xdr:rowOff>12700</xdr:rowOff>
    </xdr:from>
    <xdr:to>
      <xdr:col>1</xdr:col>
      <xdr:colOff>533400</xdr:colOff>
      <xdr:row>3</xdr:row>
      <xdr:rowOff>393700</xdr:rowOff>
    </xdr:to>
    <xdr:pic>
      <xdr:nvPicPr>
        <xdr:cNvPr id="7915" name="그림 7914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1041400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4</xdr:row>
      <xdr:rowOff>12700</xdr:rowOff>
    </xdr:from>
    <xdr:to>
      <xdr:col>1</xdr:col>
      <xdr:colOff>533400</xdr:colOff>
      <xdr:row>4</xdr:row>
      <xdr:rowOff>393700</xdr:rowOff>
    </xdr:to>
    <xdr:pic>
      <xdr:nvPicPr>
        <xdr:cNvPr id="7916" name="그림 7915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1450975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5</xdr:row>
      <xdr:rowOff>12700</xdr:rowOff>
    </xdr:from>
    <xdr:to>
      <xdr:col>1</xdr:col>
      <xdr:colOff>533400</xdr:colOff>
      <xdr:row>5</xdr:row>
      <xdr:rowOff>393700</xdr:rowOff>
    </xdr:to>
    <xdr:pic>
      <xdr:nvPicPr>
        <xdr:cNvPr id="7917" name="그림 7916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1860550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8</xdr:row>
      <xdr:rowOff>12700</xdr:rowOff>
    </xdr:from>
    <xdr:to>
      <xdr:col>1</xdr:col>
      <xdr:colOff>533400</xdr:colOff>
      <xdr:row>8</xdr:row>
      <xdr:rowOff>393700</xdr:rowOff>
    </xdr:to>
    <xdr:pic>
      <xdr:nvPicPr>
        <xdr:cNvPr id="7918" name="그림 7917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3089275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9</xdr:row>
      <xdr:rowOff>12700</xdr:rowOff>
    </xdr:from>
    <xdr:to>
      <xdr:col>1</xdr:col>
      <xdr:colOff>533400</xdr:colOff>
      <xdr:row>9</xdr:row>
      <xdr:rowOff>393700</xdr:rowOff>
    </xdr:to>
    <xdr:pic>
      <xdr:nvPicPr>
        <xdr:cNvPr id="7919" name="그림 7918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3498850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16</xdr:row>
      <xdr:rowOff>12700</xdr:rowOff>
    </xdr:from>
    <xdr:to>
      <xdr:col>1</xdr:col>
      <xdr:colOff>533400</xdr:colOff>
      <xdr:row>16</xdr:row>
      <xdr:rowOff>393700</xdr:rowOff>
    </xdr:to>
    <xdr:pic>
      <xdr:nvPicPr>
        <xdr:cNvPr id="7921" name="그림 7920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6365875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17</xdr:row>
      <xdr:rowOff>12700</xdr:rowOff>
    </xdr:from>
    <xdr:to>
      <xdr:col>1</xdr:col>
      <xdr:colOff>533400</xdr:colOff>
      <xdr:row>17</xdr:row>
      <xdr:rowOff>393700</xdr:rowOff>
    </xdr:to>
    <xdr:pic>
      <xdr:nvPicPr>
        <xdr:cNvPr id="7922" name="그림 792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6775450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19</xdr:row>
      <xdr:rowOff>12700</xdr:rowOff>
    </xdr:from>
    <xdr:to>
      <xdr:col>1</xdr:col>
      <xdr:colOff>533400</xdr:colOff>
      <xdr:row>19</xdr:row>
      <xdr:rowOff>393700</xdr:rowOff>
    </xdr:to>
    <xdr:pic>
      <xdr:nvPicPr>
        <xdr:cNvPr id="7923" name="그림 7922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7594600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20</xdr:row>
      <xdr:rowOff>12700</xdr:rowOff>
    </xdr:from>
    <xdr:to>
      <xdr:col>1</xdr:col>
      <xdr:colOff>533400</xdr:colOff>
      <xdr:row>20</xdr:row>
      <xdr:rowOff>393700</xdr:rowOff>
    </xdr:to>
    <xdr:pic>
      <xdr:nvPicPr>
        <xdr:cNvPr id="7924" name="그림 7923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8004175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21</xdr:row>
      <xdr:rowOff>12700</xdr:rowOff>
    </xdr:from>
    <xdr:to>
      <xdr:col>1</xdr:col>
      <xdr:colOff>533400</xdr:colOff>
      <xdr:row>21</xdr:row>
      <xdr:rowOff>393700</xdr:rowOff>
    </xdr:to>
    <xdr:pic>
      <xdr:nvPicPr>
        <xdr:cNvPr id="7925" name="그림 7924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8413750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22</xdr:row>
      <xdr:rowOff>12700</xdr:rowOff>
    </xdr:from>
    <xdr:to>
      <xdr:col>1</xdr:col>
      <xdr:colOff>533400</xdr:colOff>
      <xdr:row>22</xdr:row>
      <xdr:rowOff>393700</xdr:rowOff>
    </xdr:to>
    <xdr:pic>
      <xdr:nvPicPr>
        <xdr:cNvPr id="7926" name="그림 7925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8823325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23</xdr:row>
      <xdr:rowOff>12700</xdr:rowOff>
    </xdr:from>
    <xdr:to>
      <xdr:col>1</xdr:col>
      <xdr:colOff>533400</xdr:colOff>
      <xdr:row>23</xdr:row>
      <xdr:rowOff>393700</xdr:rowOff>
    </xdr:to>
    <xdr:pic>
      <xdr:nvPicPr>
        <xdr:cNvPr id="7927" name="그림 7926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9232900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31</xdr:row>
      <xdr:rowOff>12700</xdr:rowOff>
    </xdr:from>
    <xdr:to>
      <xdr:col>1</xdr:col>
      <xdr:colOff>533400</xdr:colOff>
      <xdr:row>31</xdr:row>
      <xdr:rowOff>393700</xdr:rowOff>
    </xdr:to>
    <xdr:pic>
      <xdr:nvPicPr>
        <xdr:cNvPr id="7928" name="그림 7927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12509500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32</xdr:row>
      <xdr:rowOff>12700</xdr:rowOff>
    </xdr:from>
    <xdr:to>
      <xdr:col>1</xdr:col>
      <xdr:colOff>533400</xdr:colOff>
      <xdr:row>32</xdr:row>
      <xdr:rowOff>393700</xdr:rowOff>
    </xdr:to>
    <xdr:pic>
      <xdr:nvPicPr>
        <xdr:cNvPr id="7929" name="그림 7928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12919075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33</xdr:row>
      <xdr:rowOff>12700</xdr:rowOff>
    </xdr:from>
    <xdr:to>
      <xdr:col>1</xdr:col>
      <xdr:colOff>533400</xdr:colOff>
      <xdr:row>33</xdr:row>
      <xdr:rowOff>393700</xdr:rowOff>
    </xdr:to>
    <xdr:pic>
      <xdr:nvPicPr>
        <xdr:cNvPr id="7930" name="그림 7929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13328650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34</xdr:row>
      <xdr:rowOff>12700</xdr:rowOff>
    </xdr:from>
    <xdr:to>
      <xdr:col>1</xdr:col>
      <xdr:colOff>533400</xdr:colOff>
      <xdr:row>34</xdr:row>
      <xdr:rowOff>393700</xdr:rowOff>
    </xdr:to>
    <xdr:pic>
      <xdr:nvPicPr>
        <xdr:cNvPr id="7931" name="그림 7930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13738225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36</xdr:row>
      <xdr:rowOff>12700</xdr:rowOff>
    </xdr:from>
    <xdr:to>
      <xdr:col>1</xdr:col>
      <xdr:colOff>533400</xdr:colOff>
      <xdr:row>36</xdr:row>
      <xdr:rowOff>393700</xdr:rowOff>
    </xdr:to>
    <xdr:pic>
      <xdr:nvPicPr>
        <xdr:cNvPr id="7932" name="그림 793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14557375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37</xdr:row>
      <xdr:rowOff>12700</xdr:rowOff>
    </xdr:from>
    <xdr:to>
      <xdr:col>1</xdr:col>
      <xdr:colOff>533400</xdr:colOff>
      <xdr:row>37</xdr:row>
      <xdr:rowOff>393700</xdr:rowOff>
    </xdr:to>
    <xdr:pic>
      <xdr:nvPicPr>
        <xdr:cNvPr id="7933" name="그림 7932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14966950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38</xdr:row>
      <xdr:rowOff>12700</xdr:rowOff>
    </xdr:from>
    <xdr:to>
      <xdr:col>1</xdr:col>
      <xdr:colOff>533400</xdr:colOff>
      <xdr:row>38</xdr:row>
      <xdr:rowOff>393700</xdr:rowOff>
    </xdr:to>
    <xdr:pic>
      <xdr:nvPicPr>
        <xdr:cNvPr id="7934" name="그림 7933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15376525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39</xdr:row>
      <xdr:rowOff>12700</xdr:rowOff>
    </xdr:from>
    <xdr:to>
      <xdr:col>1</xdr:col>
      <xdr:colOff>533400</xdr:colOff>
      <xdr:row>39</xdr:row>
      <xdr:rowOff>393700</xdr:rowOff>
    </xdr:to>
    <xdr:pic>
      <xdr:nvPicPr>
        <xdr:cNvPr id="7935" name="그림 7934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15786100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44</xdr:row>
      <xdr:rowOff>12700</xdr:rowOff>
    </xdr:from>
    <xdr:to>
      <xdr:col>1</xdr:col>
      <xdr:colOff>533400</xdr:colOff>
      <xdr:row>44</xdr:row>
      <xdr:rowOff>393700</xdr:rowOff>
    </xdr:to>
    <xdr:pic>
      <xdr:nvPicPr>
        <xdr:cNvPr id="7936" name="그림 7935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17833975"/>
          <a:ext cx="381000" cy="381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0</xdr:row>
          <xdr:rowOff>47625</xdr:rowOff>
        </xdr:from>
        <xdr:to>
          <xdr:col>4</xdr:col>
          <xdr:colOff>19050</xdr:colOff>
          <xdr:row>2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182656</xdr:colOff>
      <xdr:row>2</xdr:row>
      <xdr:rowOff>18487</xdr:rowOff>
    </xdr:from>
    <xdr:to>
      <xdr:col>8</xdr:col>
      <xdr:colOff>137832</xdr:colOff>
      <xdr:row>14</xdr:row>
      <xdr:rowOff>203385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5</xdr:col>
      <xdr:colOff>183172</xdr:colOff>
      <xdr:row>24</xdr:row>
      <xdr:rowOff>77474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180975</xdr:colOff>
      <xdr:row>1</xdr:row>
      <xdr:rowOff>200025</xdr:rowOff>
    </xdr:from>
    <xdr:to>
      <xdr:col>7</xdr:col>
      <xdr:colOff>638175</xdr:colOff>
      <xdr:row>15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회원명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회원명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333750" y="409575"/>
              <a:ext cx="1828800" cy="28098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ko-KR" altLang="en-US" sz="1100"/>
                <a:t>이 도형은 슬라이서를 나타냅니다. 슬라이서는 Excel 2010 이상에서 지원됩니다.
이 도형이 이전 버전의 Excel에서 수정되었거나 통합 문서가 Excel 2003 또는 이전 버전에서 저장된 경우 슬라이서를 사용할 수 없습니다.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itskills1" refreshedDate="44759.504487962964" createdVersion="6" refreshedVersion="6" minRefreshableVersion="3" recordCount="45">
  <cacheSource type="worksheet">
    <worksheetSource name="표5"/>
  </cacheSource>
  <cacheFields count="5">
    <cacheField name="번호" numFmtId="0">
      <sharedItems containsSemiMixedTypes="0" containsString="0" containsNumber="1" containsInteger="1" minValue="1" maxValue="45"/>
    </cacheField>
    <cacheField name="상품번호" numFmtId="0">
      <sharedItems/>
    </cacheField>
    <cacheField name="회원번호" numFmtId="0">
      <sharedItems containsSemiMixedTypes="0" containsString="0" containsNumber="1" containsInteger="1" minValue="1" maxValue="25"/>
    </cacheField>
    <cacheField name="구매날짜" numFmtId="14">
      <sharedItems containsSemiMixedTypes="0" containsNonDate="0" containsDate="1" containsString="0" minDate="2022-08-15T00:00:00" maxDate="2022-08-30T00:00:00" count="15"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</sharedItems>
    </cacheField>
    <cacheField name="주" numFmtId="0">
      <sharedItems count="3">
        <s v="34주"/>
        <s v="35주"/>
        <s v="36주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itskills1" refreshedDate="44760.82573113426" createdVersion="6" refreshedVersion="6" minRefreshableVersion="3" recordCount="25">
  <cacheSource type="worksheet">
    <worksheetSource name="표1"/>
  </cacheSource>
  <cacheFields count="15">
    <cacheField name="번호" numFmtId="0">
      <sharedItems containsSemiMixedTypes="0" containsString="0" containsNumber="1" containsInteger="1" minValue="1" maxValue="25"/>
    </cacheField>
    <cacheField name="이름" numFmtId="0">
      <sharedItems/>
    </cacheField>
    <cacheField name="아이디" numFmtId="0">
      <sharedItems/>
    </cacheField>
    <cacheField name="비밀번호" numFmtId="0">
      <sharedItems/>
    </cacheField>
    <cacheField name="전화번호" numFmtId="0">
      <sharedItems/>
    </cacheField>
    <cacheField name="구" numFmtId="0">
      <sharedItems/>
    </cacheField>
    <cacheField name="동" numFmtId="0">
      <sharedItems/>
    </cacheField>
    <cacheField name="거래횟수" numFmtId="0">
      <sharedItems containsSemiMixedTypes="0" containsString="0" containsNumber="1" containsInteger="1" minValue="1" maxValue="8"/>
    </cacheField>
    <cacheField name="관심 카테고리" numFmtId="0">
      <sharedItems/>
    </cacheField>
    <cacheField name="매너온도" numFmtId="0">
      <sharedItems containsSemiMixedTypes="0" containsString="0" containsNumber="1" minValue="36.299999999999997" maxValue="36.700000000000003"/>
    </cacheField>
    <cacheField name="머니" numFmtId="3">
      <sharedItems containsSemiMixedTypes="0" containsString="0" containsNumber="1" containsInteger="1" minValue="0" maxValue="52000"/>
    </cacheField>
    <cacheField name="열1" numFmtId="0">
      <sharedItems count="25">
        <s v="박지윤"/>
        <s v="이수현"/>
        <s v="박서우"/>
        <s v="정시현"/>
        <s v="강현서"/>
        <s v="윤하진"/>
        <s v="장하람"/>
        <s v="임라온"/>
        <s v="전재희"/>
        <s v="황가온"/>
        <s v="정은수"/>
        <s v="강진서"/>
        <s v="임주현"/>
        <s v="정하루"/>
        <s v="윤이수"/>
        <s v="신로하"/>
        <s v="이진"/>
        <s v="유해솔"/>
        <s v="장희수"/>
        <s v="조가람"/>
        <s v="임시영"/>
        <s v="김바다"/>
        <s v="정재연"/>
        <s v="강서안"/>
        <s v="이루하"/>
      </sharedItems>
    </cacheField>
    <cacheField name="열2" numFmtId="0">
      <sharedItems containsSemiMixedTypes="0" containsString="0" containsNumber="1" containsInteger="1" minValue="0" maxValue="4"/>
    </cacheField>
    <cacheField name="열3" numFmtId="0">
      <sharedItems containsSemiMixedTypes="0" containsString="0" containsNumber="1" containsInteger="1" minValue="6" maxValue="10"/>
    </cacheField>
    <cacheField name="열4" numFmtId="0">
      <sharedItems containsSemiMixedTypes="0" containsString="0" containsNumber="1" containsInteger="1" minValue="9" maxValue="1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5">
  <r>
    <n v="1"/>
    <s v="D-5"/>
    <n v="8"/>
    <x v="0"/>
    <x v="0"/>
  </r>
  <r>
    <n v="2"/>
    <s v="Y-8"/>
    <n v="1"/>
    <x v="0"/>
    <x v="0"/>
  </r>
  <r>
    <n v="3"/>
    <s v="Y-1"/>
    <n v="10"/>
    <x v="0"/>
    <x v="0"/>
  </r>
  <r>
    <n v="4"/>
    <s v="W-19"/>
    <n v="4"/>
    <x v="0"/>
    <x v="0"/>
  </r>
  <r>
    <n v="5"/>
    <s v="B-3"/>
    <n v="17"/>
    <x v="0"/>
    <x v="0"/>
  </r>
  <r>
    <n v="6"/>
    <s v="S-4"/>
    <n v="4"/>
    <x v="1"/>
    <x v="0"/>
  </r>
  <r>
    <n v="7"/>
    <s v="T-5"/>
    <n v="11"/>
    <x v="1"/>
    <x v="0"/>
  </r>
  <r>
    <n v="8"/>
    <s v="F-8"/>
    <n v="2"/>
    <x v="1"/>
    <x v="0"/>
  </r>
  <r>
    <n v="9"/>
    <s v="L-8"/>
    <n v="3"/>
    <x v="1"/>
    <x v="0"/>
  </r>
  <r>
    <n v="10"/>
    <s v="M-7"/>
    <n v="4"/>
    <x v="1"/>
    <x v="0"/>
  </r>
  <r>
    <n v="11"/>
    <s v="H-17"/>
    <n v="15"/>
    <x v="2"/>
    <x v="0"/>
  </r>
  <r>
    <n v="12"/>
    <s v="G-13"/>
    <n v="10"/>
    <x v="2"/>
    <x v="0"/>
  </r>
  <r>
    <n v="13"/>
    <s v="P-12"/>
    <n v="20"/>
    <x v="2"/>
    <x v="0"/>
  </r>
  <r>
    <n v="14"/>
    <s v="D-11"/>
    <n v="1"/>
    <x v="2"/>
    <x v="0"/>
  </r>
  <r>
    <n v="15"/>
    <s v="W-7"/>
    <n v="23"/>
    <x v="2"/>
    <x v="0"/>
  </r>
  <r>
    <n v="16"/>
    <s v="Y-17"/>
    <n v="24"/>
    <x v="2"/>
    <x v="0"/>
  </r>
  <r>
    <n v="17"/>
    <s v="W-1"/>
    <n v="12"/>
    <x v="3"/>
    <x v="0"/>
  </r>
  <r>
    <n v="18"/>
    <s v="B-1"/>
    <n v="13"/>
    <x v="3"/>
    <x v="0"/>
  </r>
  <r>
    <n v="19"/>
    <s v="S-9"/>
    <n v="9"/>
    <x v="3"/>
    <x v="0"/>
  </r>
  <r>
    <n v="20"/>
    <s v="T-8"/>
    <n v="1"/>
    <x v="3"/>
    <x v="0"/>
  </r>
  <r>
    <n v="21"/>
    <s v="F-10"/>
    <n v="15"/>
    <x v="3"/>
    <x v="0"/>
  </r>
  <r>
    <n v="22"/>
    <s v="L-9"/>
    <n v="21"/>
    <x v="4"/>
    <x v="0"/>
  </r>
  <r>
    <n v="23"/>
    <s v="M-11"/>
    <n v="20"/>
    <x v="4"/>
    <x v="0"/>
  </r>
  <r>
    <n v="24"/>
    <s v="H-13"/>
    <n v="1"/>
    <x v="4"/>
    <x v="0"/>
  </r>
  <r>
    <n v="25"/>
    <s v="G-1"/>
    <n v="8"/>
    <x v="5"/>
    <x v="0"/>
  </r>
  <r>
    <n v="26"/>
    <s v="P-10"/>
    <n v="4"/>
    <x v="6"/>
    <x v="1"/>
  </r>
  <r>
    <n v="27"/>
    <s v="D-10"/>
    <n v="8"/>
    <x v="6"/>
    <x v="1"/>
  </r>
  <r>
    <n v="28"/>
    <s v="W-3"/>
    <n v="14"/>
    <x v="6"/>
    <x v="1"/>
  </r>
  <r>
    <n v="29"/>
    <s v="S-11"/>
    <n v="19"/>
    <x v="6"/>
    <x v="1"/>
  </r>
  <r>
    <n v="30"/>
    <s v="B-2"/>
    <n v="17"/>
    <x v="7"/>
    <x v="1"/>
  </r>
  <r>
    <n v="31"/>
    <s v="B-11"/>
    <n v="15"/>
    <x v="8"/>
    <x v="1"/>
  </r>
  <r>
    <n v="32"/>
    <s v="S-19"/>
    <n v="18"/>
    <x v="9"/>
    <x v="1"/>
  </r>
  <r>
    <n v="33"/>
    <s v="T-15"/>
    <n v="16"/>
    <x v="9"/>
    <x v="1"/>
  </r>
  <r>
    <n v="34"/>
    <s v="F-7"/>
    <n v="1"/>
    <x v="9"/>
    <x v="1"/>
  </r>
  <r>
    <n v="35"/>
    <s v="L-1"/>
    <n v="20"/>
    <x v="10"/>
    <x v="1"/>
  </r>
  <r>
    <n v="36"/>
    <s v="M-13"/>
    <n v="23"/>
    <x v="10"/>
    <x v="1"/>
  </r>
  <r>
    <n v="37"/>
    <s v="H-2"/>
    <n v="22"/>
    <x v="11"/>
    <x v="1"/>
  </r>
  <r>
    <n v="38"/>
    <s v="G-10"/>
    <n v="2"/>
    <x v="11"/>
    <x v="1"/>
  </r>
  <r>
    <n v="39"/>
    <s v="P-7"/>
    <n v="1"/>
    <x v="12"/>
    <x v="1"/>
  </r>
  <r>
    <n v="40"/>
    <s v="G-6"/>
    <n v="1"/>
    <x v="13"/>
    <x v="2"/>
  </r>
  <r>
    <n v="41"/>
    <s v="L-19"/>
    <n v="8"/>
    <x v="13"/>
    <x v="2"/>
  </r>
  <r>
    <n v="42"/>
    <s v="M-8"/>
    <n v="13"/>
    <x v="14"/>
    <x v="2"/>
  </r>
  <r>
    <n v="43"/>
    <s v="T-11"/>
    <n v="14"/>
    <x v="14"/>
    <x v="2"/>
  </r>
  <r>
    <n v="44"/>
    <s v="F-11"/>
    <n v="20"/>
    <x v="14"/>
    <x v="2"/>
  </r>
  <r>
    <n v="45"/>
    <s v="W-12"/>
    <n v="25"/>
    <x v="14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5">
  <r>
    <n v="1"/>
    <s v="박지윤"/>
    <s v="wldbs11"/>
    <s v="Wldbs11!"/>
    <s v="010-2222-7666"/>
    <s v="성산구"/>
    <s v="중앙동"/>
    <n v="8"/>
    <s v="2,10,11"/>
    <n v="36.299999999999997"/>
    <n v="32000"/>
    <x v="0"/>
    <n v="1"/>
    <n v="9"/>
    <n v="10"/>
  </r>
  <r>
    <n v="2"/>
    <s v="이수현"/>
    <s v="tnguss"/>
    <s v="Tnguss!"/>
    <s v="010-1234-5678"/>
    <s v="진해구"/>
    <s v="충무동"/>
    <n v="5"/>
    <s v="1,3,6,11"/>
    <n v="36.700000000000003"/>
    <n v="14000"/>
    <x v="1"/>
    <n v="3"/>
    <n v="7"/>
    <n v="10"/>
  </r>
  <r>
    <n v="3"/>
    <s v="박서우"/>
    <s v="tjdn45"/>
    <s v="Tjdn45!"/>
    <s v="010-2232-1111"/>
    <s v="마산회원구"/>
    <s v="석전동"/>
    <n v="2"/>
    <s v="8,9,12"/>
    <n v="36.5"/>
    <n v="8000"/>
    <x v="2"/>
    <n v="1"/>
    <n v="9"/>
    <n v="10"/>
  </r>
  <r>
    <n v="4"/>
    <s v="정시현"/>
    <s v="tlgus17"/>
    <s v="Tlgus11!"/>
    <s v="010-7897-7877"/>
    <s v="마산합포구"/>
    <s v="현동"/>
    <n v="4"/>
    <s v="3,7,8"/>
    <n v="36.5"/>
    <n v="52000"/>
    <x v="3"/>
    <n v="0"/>
    <n v="10"/>
    <n v="10"/>
  </r>
  <r>
    <n v="5"/>
    <s v="강현서"/>
    <s v="gustj3"/>
    <s v="Gustj3!"/>
    <s v="010-3232-2323"/>
    <s v="의창구"/>
    <s v="의창동"/>
    <n v="3"/>
    <s v="6,10"/>
    <n v="36.5"/>
    <n v="16000"/>
    <x v="4"/>
    <n v="3"/>
    <n v="6"/>
    <n v="9"/>
  </r>
  <r>
    <n v="6"/>
    <s v="윤하진"/>
    <s v="gkwls7"/>
    <s v="Gkwls7!"/>
    <s v="010-2222-7666"/>
    <s v="성산구"/>
    <s v="중앙동"/>
    <n v="1"/>
    <s v="4,5,9,10"/>
    <n v="36.5"/>
    <n v="9000"/>
    <x v="5"/>
    <n v="1"/>
    <n v="9"/>
    <n v="10"/>
  </r>
  <r>
    <n v="7"/>
    <s v="장하람"/>
    <s v="haram125"/>
    <s v="Haram125!"/>
    <s v="010-5555-6666"/>
    <s v="진해구"/>
    <s v="경화동"/>
    <n v="4"/>
    <s v="1,3,5,8,9,12"/>
    <n v="36.5"/>
    <n v="2000"/>
    <x v="6"/>
    <n v="4"/>
    <n v="6"/>
    <n v="10"/>
  </r>
  <r>
    <n v="8"/>
    <s v="임라온"/>
    <s v="fkdhs6"/>
    <s v="Fkdhs6!"/>
    <s v="010-1235-7895"/>
    <s v="마산회원구"/>
    <s v="회성동"/>
    <n v="5"/>
    <s v="2,4,9"/>
    <n v="36.700000000000003"/>
    <n v="0"/>
    <x v="7"/>
    <n v="1"/>
    <n v="8"/>
    <n v="9"/>
  </r>
  <r>
    <n v="9"/>
    <s v="전재희"/>
    <s v="wogml469"/>
    <s v="Wogml469!"/>
    <s v="010-2378-8912"/>
    <s v="마산합포구"/>
    <s v="월영동"/>
    <n v="4"/>
    <s v="1,5,10,12"/>
    <n v="36.299999999999997"/>
    <n v="15000"/>
    <x v="8"/>
    <n v="3"/>
    <n v="7"/>
    <n v="10"/>
  </r>
  <r>
    <n v="10"/>
    <s v="황가온"/>
    <s v="rkdhs12"/>
    <s v="Rkdhs12!"/>
    <s v="010-4545-5454"/>
    <s v="성산구"/>
    <s v="사파동"/>
    <n v="5"/>
    <s v="5,6,8,9"/>
    <n v="36.700000000000003"/>
    <n v="8000"/>
    <x v="9"/>
    <n v="3"/>
    <n v="6"/>
    <n v="9"/>
  </r>
  <r>
    <n v="11"/>
    <s v="정은수"/>
    <s v="eunsoo19"/>
    <s v="Eunsoo12!"/>
    <s v="010-3333-4444"/>
    <s v="의창구"/>
    <s v="팔룡동"/>
    <n v="3"/>
    <s v="4,10"/>
    <n v="36.5"/>
    <n v="16000"/>
    <x v="10"/>
    <n v="2"/>
    <n v="8"/>
    <n v="10"/>
  </r>
  <r>
    <n v="12"/>
    <s v="강진서"/>
    <s v="wlstjcu3"/>
    <s v="Wlstjcu3!"/>
    <s v="010-2333-3222"/>
    <s v="진해구"/>
    <s v="자은동"/>
    <n v="3"/>
    <s v="5,7,9,10"/>
    <n v="36.700000000000003"/>
    <n v="7400"/>
    <x v="11"/>
    <n v="2"/>
    <n v="8"/>
    <n v="10"/>
  </r>
  <r>
    <n v="13"/>
    <s v="임주현"/>
    <s v="wngusss4"/>
    <s v="Wngusss4!"/>
    <s v="010-4679-4523"/>
    <s v="마산회원구"/>
    <s v="봉암동"/>
    <n v="4"/>
    <s v="1,4,5,8"/>
    <n v="36.5"/>
    <n v="1000"/>
    <x v="12"/>
    <n v="2"/>
    <n v="7"/>
    <n v="9"/>
  </r>
  <r>
    <n v="14"/>
    <s v="정하루"/>
    <s v="oneday15"/>
    <s v="Oneday15!"/>
    <s v="010-1728-5378"/>
    <s v="성산구"/>
    <s v="가음정동"/>
    <n v="4"/>
    <s v="3,4,5,8,9,10,12"/>
    <n v="36.5"/>
    <n v="0"/>
    <x v="13"/>
    <n v="2"/>
    <n v="8"/>
    <n v="10"/>
  </r>
  <r>
    <n v="15"/>
    <s v="윤이수"/>
    <s v="dltn439"/>
    <s v="Dltn439!"/>
    <s v="010-2222-1234"/>
    <s v="의창구"/>
    <s v="명곡동"/>
    <n v="5"/>
    <s v="2,4,5,8"/>
    <n v="36.700000000000003"/>
    <n v="0"/>
    <x v="14"/>
    <n v="2"/>
    <n v="8"/>
    <n v="10"/>
  </r>
  <r>
    <n v="16"/>
    <s v="신로하"/>
    <s v="fhgk33"/>
    <s v="Fhgk33!"/>
    <s v="010-3459-7331"/>
    <s v="마산합포구"/>
    <s v="교방동"/>
    <n v="1"/>
    <s v="5,6,9,12"/>
    <n v="36.700000000000003"/>
    <n v="52000"/>
    <x v="15"/>
    <n v="0"/>
    <n v="9"/>
    <n v="9"/>
  </r>
  <r>
    <n v="17"/>
    <s v="이진"/>
    <s v="leejinn45"/>
    <s v="Leejinn45!"/>
    <s v="010-5678-7845"/>
    <s v="진해구"/>
    <s v="덕산동"/>
    <n v="4"/>
    <s v="7,8,10,11,12"/>
    <n v="36.700000000000003"/>
    <n v="30000"/>
    <x v="16"/>
    <n v="2"/>
    <n v="7"/>
    <n v="9"/>
  </r>
  <r>
    <n v="18"/>
    <s v="유해솔"/>
    <s v="gothf77"/>
    <s v="Gothf77!"/>
    <s v="010-2326-4512"/>
    <s v="의창구"/>
    <s v="봉림동"/>
    <n v="2"/>
    <s v="5,7,9,11"/>
    <n v="36.700000000000003"/>
    <n v="12000"/>
    <x v="17"/>
    <n v="1"/>
    <n v="9"/>
    <n v="10"/>
  </r>
  <r>
    <n v="19"/>
    <s v="장희수"/>
    <s v="gmltn34"/>
    <s v="Gmltn34!"/>
    <s v="010-5623-2635"/>
    <s v="마산회원구"/>
    <s v="양덕1동"/>
    <n v="3"/>
    <s v="5,6,7,12"/>
    <n v="36.5"/>
    <n v="29000"/>
    <x v="18"/>
    <n v="2"/>
    <n v="7"/>
    <n v="9"/>
  </r>
  <r>
    <n v="20"/>
    <s v="조가람"/>
    <s v="rkfka126"/>
    <s v="Rkfka126!"/>
    <s v="010-6666-7777"/>
    <s v="마산합포구"/>
    <s v="간호동"/>
    <n v="6"/>
    <s v="2,7"/>
    <n v="36.299999999999997"/>
    <n v="2000"/>
    <x v="19"/>
    <n v="2"/>
    <n v="8"/>
    <n v="10"/>
  </r>
  <r>
    <n v="21"/>
    <s v="임시영"/>
    <s v="tlduddl12"/>
    <s v="Tlduddl12!"/>
    <s v="010-1010-0101"/>
    <s v="성산구"/>
    <s v="웅남동"/>
    <n v="4"/>
    <s v="4,5,7,8,9,12"/>
    <n v="36.700000000000003"/>
    <n v="8000"/>
    <x v="20"/>
    <n v="3"/>
    <n v="7"/>
    <n v="10"/>
  </r>
  <r>
    <n v="22"/>
    <s v="김바다"/>
    <s v="kocean55"/>
    <s v="Kocean55!"/>
    <s v="010-7956-1212"/>
    <s v="의창구"/>
    <s v="용지동"/>
    <n v="3"/>
    <s v="1,5,9,10,11"/>
    <n v="36.299999999999997"/>
    <n v="7500"/>
    <x v="21"/>
    <n v="2"/>
    <n v="8"/>
    <n v="10"/>
  </r>
  <r>
    <n v="23"/>
    <s v="정재연"/>
    <s v="wodus444"/>
    <s v="Wodus444!"/>
    <s v="010-2399-1224"/>
    <s v="진해구"/>
    <s v="태평동"/>
    <n v="5"/>
    <s v="1,2,8,0"/>
    <n v="36.700000000000003"/>
    <n v="15000"/>
    <x v="22"/>
    <n v="3"/>
    <n v="6"/>
    <n v="9"/>
  </r>
  <r>
    <n v="24"/>
    <s v="강서안"/>
    <s v="tjdks08"/>
    <s v="Tjdks08!"/>
    <s v="010-8745-4321"/>
    <s v="마산합포구"/>
    <s v="합포동"/>
    <n v="1"/>
    <s v="2,7,11,12"/>
    <n v="36.5"/>
    <n v="40000"/>
    <x v="23"/>
    <n v="0"/>
    <n v="9"/>
    <n v="9"/>
  </r>
  <r>
    <n v="25"/>
    <s v="이루하"/>
    <s v="ruuha8"/>
    <s v="Ruuha8!"/>
    <s v="010-4321-8888"/>
    <s v="마산회원구"/>
    <s v="양덕2동"/>
    <n v="1"/>
    <s v="1,2,5,7,9,11"/>
    <n v="36.5"/>
    <n v="26500"/>
    <x v="24"/>
    <n v="0"/>
    <n v="9"/>
    <n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피벗 테이블2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 chartFormat="4">
  <location ref="E3:F7" firstHeaderRow="1" firstDataRow="1" firstDataCol="1"/>
  <pivotFields count="5">
    <pivotField dataField="1" showAll="0"/>
    <pivotField showAll="0"/>
    <pivotField showAll="0"/>
    <pivotField numFmtId="14" showAll="0"/>
    <pivotField axis="axisRow" showAll="0">
      <items count="4">
        <item x="0"/>
        <item x="1"/>
        <item x="2"/>
        <item t="default"/>
      </items>
    </pivotField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개수 : 번호" fld="0" subtotal="count" baseField="4" baseItem="0"/>
  </dataFields>
  <formats count="7">
    <format dxfId="20">
      <pivotArea type="all" dataOnly="0" outline="0" fieldPosition="0"/>
    </format>
    <format dxfId="19">
      <pivotArea outline="0" collapsedLevelsAreSubtotals="1" fieldPosition="0"/>
    </format>
    <format dxfId="18">
      <pivotArea field="4" type="button" dataOnly="0" labelOnly="1" outline="0" axis="axisRow" fieldPosition="0"/>
    </format>
    <format dxfId="17">
      <pivotArea dataOnly="0" labelOnly="1" outline="0" axis="axisValues" fieldPosition="0"/>
    </format>
    <format dxfId="16">
      <pivotArea dataOnly="0" labelOnly="1" fieldPosition="0">
        <references count="1">
          <reference field="4" count="0"/>
        </references>
      </pivotArea>
    </format>
    <format dxfId="15">
      <pivotArea dataOnly="0" labelOnly="1" grandRow="1" outline="0" fieldPosition="0"/>
    </format>
    <format dxfId="14">
      <pivotArea dataOnly="0" labelOnly="1" outline="0" axis="axisValues" fieldPosition="0"/>
    </format>
  </formats>
  <chartFormats count="5">
    <chartFormat chart="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 chartFormat="1">
  <location ref="B3:C22" firstHeaderRow="1" firstDataRow="1" firstDataCol="1"/>
  <pivotFields count="5">
    <pivotField dataField="1" showAll="0"/>
    <pivotField showAll="0"/>
    <pivotField showAll="0"/>
    <pivotField axis="axisRow" numFmtId="14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axis="axisRow" showAll="0">
      <items count="4">
        <item x="0"/>
        <item x="1"/>
        <item x="2"/>
        <item t="default"/>
      </items>
    </pivotField>
  </pivotFields>
  <rowFields count="2">
    <field x="4"/>
    <field x="3"/>
  </rowFields>
  <rowItems count="19">
    <i>
      <x/>
    </i>
    <i r="1">
      <x/>
    </i>
    <i r="1">
      <x v="1"/>
    </i>
    <i r="1">
      <x v="2"/>
    </i>
    <i r="1">
      <x v="3"/>
    </i>
    <i r="1">
      <x v="4"/>
    </i>
    <i r="1">
      <x v="5"/>
    </i>
    <i>
      <x v="1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</i>
    <i r="1">
      <x v="13"/>
    </i>
    <i r="1">
      <x v="14"/>
    </i>
    <i t="grand">
      <x/>
    </i>
  </rowItems>
  <colItems count="1">
    <i/>
  </colItems>
  <dataFields count="1">
    <dataField name="개수 : 번호" fld="0" subtotal="count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피벗 테이블10" cacheId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 rowHeaderCaption="회원명">
  <location ref="B3:E29" firstHeaderRow="0" firstDataRow="1" firstDataCol="1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3" showAll="0"/>
    <pivotField name="회원명" axis="axisRow" showAll="0" defaultSubtotal="0">
      <items count="25">
        <item x="23"/>
        <item x="11"/>
        <item x="4"/>
        <item x="21"/>
        <item x="2"/>
        <item x="0"/>
        <item x="15"/>
        <item x="17"/>
        <item x="14"/>
        <item x="5"/>
        <item x="24"/>
        <item x="1"/>
        <item x="16"/>
        <item x="7"/>
        <item x="20"/>
        <item x="12"/>
        <item x="6"/>
        <item x="18"/>
        <item x="8"/>
        <item x="3"/>
        <item x="10"/>
        <item x="22"/>
        <item x="13"/>
        <item x="19"/>
        <item x="9"/>
      </items>
    </pivotField>
    <pivotField dataField="1" showAll="0" defaultSubtotal="0"/>
    <pivotField dataField="1" showAll="0" defaultSubtotal="0"/>
    <pivotField dataField="1" showAll="0" defaultSubtotal="0"/>
  </pivotFields>
  <rowFields count="1">
    <field x="11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판매완료" fld="12" baseField="11" baseItem="0" numFmtId="176"/>
    <dataField name="판매중" fld="13" baseField="11" baseItem="0" numFmtId="176"/>
    <dataField name="총합계" fld="14" baseField="11" baseItem="0" numFmtId="176"/>
  </dataFields>
  <formats count="12">
    <format dxfId="13">
      <pivotArea type="all" dataOnly="0" outline="0" fieldPosition="0"/>
    </format>
    <format dxfId="12">
      <pivotArea outline="0" collapsedLevelsAreSubtotals="1" fieldPosition="0"/>
    </format>
    <format dxfId="11">
      <pivotArea field="11" type="button" dataOnly="0" labelOnly="1" outline="0" axis="axisRow" fieldPosition="0"/>
    </format>
    <format dxfId="10">
      <pivotArea dataOnly="0" labelOnly="1" fieldPosition="0">
        <references count="1">
          <reference field="11" count="0"/>
        </references>
      </pivotArea>
    </format>
    <format dxfId="9">
      <pivotArea dataOnly="0" labelOnly="1" grandRow="1" outline="0" fieldPosition="0"/>
    </format>
    <format dxfId="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">
      <pivotArea dataOnly="0" labelOnly="1" fieldPosition="0">
        <references count="1">
          <reference field="11" count="0"/>
        </references>
      </pivotArea>
    </format>
    <format dxfId="6">
      <pivotArea dataOnly="0" labelOnly="1" grandRow="1" outline="0" fieldPosition="0"/>
    </format>
    <format dxfId="5">
      <pivotArea field="11" type="button" dataOnly="0" labelOnly="1" outline="0" axis="axisRow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  <format dxfId="3">
      <pivotArea outline="0" fieldPosition="0">
        <references count="1">
          <reference field="4294967294" count="1">
            <x v="1"/>
          </reference>
        </references>
      </pivotArea>
    </format>
    <format dxfId="2">
      <pivotArea outline="0" fieldPosition="0">
        <references count="1">
          <reference field="4294967294" count="1">
            <x v="2"/>
          </reference>
        </references>
      </pivotArea>
    </format>
  </format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슬라이서_열1" sourceName="열1">
  <pivotTables>
    <pivotTable tabId="11" name="피벗 테이블10"/>
  </pivotTables>
  <data>
    <tabular pivotCacheId="1">
      <items count="25">
        <i x="23" s="1"/>
        <i x="11" s="1"/>
        <i x="4" s="1"/>
        <i x="21" s="1"/>
        <i x="2" s="1"/>
        <i x="0" s="1"/>
        <i x="15" s="1"/>
        <i x="17" s="1"/>
        <i x="14" s="1"/>
        <i x="5" s="1"/>
        <i x="24" s="1"/>
        <i x="1" s="1"/>
        <i x="16" s="1"/>
        <i x="7" s="1"/>
        <i x="20" s="1"/>
        <i x="12" s="1"/>
        <i x="6" s="1"/>
        <i x="18" s="1"/>
        <i x="8" s="1"/>
        <i x="3" s="1"/>
        <i x="10" s="1"/>
        <i x="22" s="1"/>
        <i x="13" s="1"/>
        <i x="19" s="1"/>
        <i x="9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회원명" cache="슬라이서_열1" caption="회원명" style="SlicerStyleLight2" rowHeight="273050"/>
</slicers>
</file>

<file path=xl/tables/table1.xml><?xml version="1.0" encoding="utf-8"?>
<table xmlns="http://schemas.openxmlformats.org/spreadsheetml/2006/main" id="1" name="표1" displayName="표1" ref="A1:O26" totalsRowShown="0" headerRowDxfId="66" dataDxfId="65">
  <autoFilter ref="A1:O2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name="번호" dataDxfId="64"/>
    <tableColumn id="2" name="이름" dataDxfId="63"/>
    <tableColumn id="3" name="아이디" dataDxfId="62"/>
    <tableColumn id="4" name="비밀번호" dataDxfId="61"/>
    <tableColumn id="5" name="전화번호" dataDxfId="60"/>
    <tableColumn id="6" name="구" dataDxfId="59"/>
    <tableColumn id="7" name="동" dataDxfId="58"/>
    <tableColumn id="8" name="거래횟수" dataDxfId="57">
      <calculatedColumnFormula>COUNTIF(표5[회원번호],표1[[#This Row],[번호]]) +COUNTIFS(상품!C:C,표1[[#This Row],[번호]],상품!F:F,TRUE)</calculatedColumnFormula>
    </tableColumn>
    <tableColumn id="9" name="관심 카테고리" dataDxfId="56"/>
    <tableColumn id="10" name="매너온도" dataDxfId="55">
      <calculatedColumnFormula>36.5+ SUMIF(표5[회원번호],표1[[#This Row],[번호]],표6[온도])</calculatedColumnFormula>
    </tableColumn>
    <tableColumn id="11" name="머니" dataDxfId="54"/>
    <tableColumn id="12" name="열1" dataDxfId="53">
      <calculatedColumnFormula>표1[[#This Row],[이름]]</calculatedColumnFormula>
    </tableColumn>
    <tableColumn id="13" name="열2" dataDxfId="52">
      <calculatedColumnFormula>COUNTIFS(상품!C:C,표1[[#This Row],[번호]],상품!F:F,TRUE)</calculatedColumnFormula>
    </tableColumn>
    <tableColumn id="14" name="열3" dataDxfId="51">
      <calculatedColumnFormula xml:space="preserve"> COUNTIFS(상품!C:C,표1[[#This Row],[번호]],상품!F:F,FALSE)</calculatedColumnFormula>
    </tableColumn>
    <tableColumn id="15" name="열4" dataDxfId="50">
      <calculatedColumnFormula>SUM(표1[[#This Row],[열2]:[열3]])</calculatedColumnFormula>
    </tableColumn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id="2" name="표2" displayName="표2" ref="A1:D13" totalsRowShown="0" headerRowDxfId="49" dataDxfId="48">
  <autoFilter ref="A1:D13">
    <filterColumn colId="0" hiddenButton="1"/>
    <filterColumn colId="1" hiddenButton="1"/>
    <filterColumn colId="2" hiddenButton="1"/>
    <filterColumn colId="3" hiddenButton="1"/>
  </autoFilter>
  <tableColumns count="4">
    <tableColumn id="1" name="번호" dataDxfId="47"/>
    <tableColumn id="2" name="코드" dataDxfId="46"/>
    <tableColumn id="3" name="카테고리명" dataDxfId="45"/>
    <tableColumn id="4" name="상품개수" dataDxfId="44">
      <calculatedColumnFormula array="1">SUM((LEFT(상품!A:A,1)=표2[[#This Row],[코드]])*(상품!F:F=FALSE))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id="4" name="표4" displayName="표4" ref="A1:C61" totalsRowShown="0" headerRowDxfId="41" dataDxfId="40">
  <autoFilter ref="A1:C61">
    <filterColumn colId="0" hiddenButton="1"/>
    <filterColumn colId="1" hiddenButton="1"/>
    <filterColumn colId="2" hiddenButton="1"/>
  </autoFilter>
  <tableColumns count="3">
    <tableColumn id="1" name="번호" dataDxfId="39"/>
    <tableColumn id="2" name="회원번호" dataDxfId="38"/>
    <tableColumn id="3" name="상품번호" dataDxfId="37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id="5" name="표5" displayName="표5" ref="A1:F46" totalsRowShown="0" headerRowDxfId="36" dataDxfId="35">
  <autoFilter ref="A1:F4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번호" dataDxfId="34"/>
    <tableColumn id="2" name="상품번호" dataDxfId="33"/>
    <tableColumn id="3" name="회원번호" dataDxfId="32"/>
    <tableColumn id="4" name="구매날짜" dataDxfId="31"/>
    <tableColumn id="5" name="주" dataDxfId="30">
      <calculatedColumnFormula>WEEKNUM(표5[[#This Row],[구매날짜]]) &amp; "주"</calculatedColumnFormula>
    </tableColumn>
    <tableColumn id="6" name="판매자" dataDxfId="29">
      <calculatedColumnFormula>VLOOKUP(표5[[#This Row],[상품번호]],상품!$A$2:$J$1048576,3,FALSE)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id="6" name="표6" displayName="표6" ref="A1:F46" totalsRowShown="0" headerRowDxfId="28" dataDxfId="27">
  <tableColumns count="6">
    <tableColumn id="1" name="번호" dataDxfId="26"/>
    <tableColumn id="2" name="매너온도" dataDxfId="25"/>
    <tableColumn id="3" name="평가" dataDxfId="24"/>
    <tableColumn id="4" name="점수" dataDxfId="23"/>
    <tableColumn id="5" name="온도" dataDxfId="22">
      <calculatedColumnFormula>IF(표6[[#This Row],[점수]]=1,0.2,IF(표6[[#This Row],[점수]] = 0,0,-0.2))</calculatedColumnFormula>
    </tableColumn>
    <tableColumn id="6" name="판매자" dataDxfId="21">
      <calculatedColumnFormula>VLOOKUP(VLOOKUP(표6[[#This Row],[번호]],표5[],2,FALSE),상품!$A$1:$J$1048575,3,FALSE)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2.xml"/><Relationship Id="rId4" Type="http://schemas.openxmlformats.org/officeDocument/2006/relationships/image" Target="../media/image1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table" Target="../tables/table3.xml"/><Relationship Id="rId4" Type="http://schemas.openxmlformats.org/officeDocument/2006/relationships/image" Target="../media/image1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table" Target="../tables/table4.xml"/><Relationship Id="rId4" Type="http://schemas.openxmlformats.org/officeDocument/2006/relationships/image" Target="../media/image1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image" Target="../media/image20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zoomScale="85" zoomScaleNormal="85" workbookViewId="0">
      <selection activeCell="U7" sqref="U7"/>
    </sheetView>
  </sheetViews>
  <sheetFormatPr defaultRowHeight="16.5" x14ac:dyDescent="0.3"/>
  <cols>
    <col min="1" max="16384" width="9" style="1"/>
  </cols>
  <sheetData/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45" r:id="rId3" name="CommandButton9">
          <controlPr autoLine="0" r:id="rId4">
            <anchor moveWithCells="1">
              <from>
                <xdr:col>9</xdr:col>
                <xdr:colOff>28575</xdr:colOff>
                <xdr:row>3</xdr:row>
                <xdr:rowOff>57150</xdr:rowOff>
              </from>
              <to>
                <xdr:col>11</xdr:col>
                <xdr:colOff>66675</xdr:colOff>
                <xdr:row>5</xdr:row>
                <xdr:rowOff>85725</xdr:rowOff>
              </to>
            </anchor>
          </controlPr>
        </control>
      </mc:Choice>
      <mc:Fallback>
        <control shapeId="1045" r:id="rId3" name="CommandButton9"/>
      </mc:Fallback>
    </mc:AlternateContent>
    <mc:AlternateContent xmlns:mc="http://schemas.openxmlformats.org/markup-compatibility/2006">
      <mc:Choice Requires="x14">
        <control shapeId="1044" r:id="rId5" name="CommandButton8">
          <controlPr autoLine="0" r:id="rId6">
            <anchor moveWithCells="1">
              <from>
                <xdr:col>6</xdr:col>
                <xdr:colOff>457200</xdr:colOff>
                <xdr:row>18</xdr:row>
                <xdr:rowOff>114300</xdr:rowOff>
              </from>
              <to>
                <xdr:col>8</xdr:col>
                <xdr:colOff>495300</xdr:colOff>
                <xdr:row>20</xdr:row>
                <xdr:rowOff>142875</xdr:rowOff>
              </to>
            </anchor>
          </controlPr>
        </control>
      </mc:Choice>
      <mc:Fallback>
        <control shapeId="1044" r:id="rId5" name="CommandButton8"/>
      </mc:Fallback>
    </mc:AlternateContent>
    <mc:AlternateContent xmlns:mc="http://schemas.openxmlformats.org/markup-compatibility/2006">
      <mc:Choice Requires="x14">
        <control shapeId="1043" r:id="rId7" name="CommandButton7">
          <controlPr autoLine="0" r:id="rId8">
            <anchor moveWithCells="1">
              <from>
                <xdr:col>4</xdr:col>
                <xdr:colOff>123825</xdr:colOff>
                <xdr:row>18</xdr:row>
                <xdr:rowOff>114300</xdr:rowOff>
              </from>
              <to>
                <xdr:col>6</xdr:col>
                <xdr:colOff>161925</xdr:colOff>
                <xdr:row>20</xdr:row>
                <xdr:rowOff>142875</xdr:rowOff>
              </to>
            </anchor>
          </controlPr>
        </control>
      </mc:Choice>
      <mc:Fallback>
        <control shapeId="1043" r:id="rId7" name="CommandButton7"/>
      </mc:Fallback>
    </mc:AlternateContent>
    <mc:AlternateContent xmlns:mc="http://schemas.openxmlformats.org/markup-compatibility/2006">
      <mc:Choice Requires="x14">
        <control shapeId="1042" r:id="rId9" name="CommandButton6">
          <controlPr autoLine="0" r:id="rId10">
            <anchor moveWithCells="1">
              <from>
                <xdr:col>6</xdr:col>
                <xdr:colOff>457200</xdr:colOff>
                <xdr:row>15</xdr:row>
                <xdr:rowOff>123825</xdr:rowOff>
              </from>
              <to>
                <xdr:col>8</xdr:col>
                <xdr:colOff>495300</xdr:colOff>
                <xdr:row>17</xdr:row>
                <xdr:rowOff>152400</xdr:rowOff>
              </to>
            </anchor>
          </controlPr>
        </control>
      </mc:Choice>
      <mc:Fallback>
        <control shapeId="1042" r:id="rId9" name="CommandButton6"/>
      </mc:Fallback>
    </mc:AlternateContent>
    <mc:AlternateContent xmlns:mc="http://schemas.openxmlformats.org/markup-compatibility/2006">
      <mc:Choice Requires="x14">
        <control shapeId="1041" r:id="rId11" name="CommandButton5">
          <controlPr autoLine="0" r:id="rId12">
            <anchor moveWithCells="1">
              <from>
                <xdr:col>4</xdr:col>
                <xdr:colOff>123825</xdr:colOff>
                <xdr:row>15</xdr:row>
                <xdr:rowOff>123825</xdr:rowOff>
              </from>
              <to>
                <xdr:col>6</xdr:col>
                <xdr:colOff>161925</xdr:colOff>
                <xdr:row>17</xdr:row>
                <xdr:rowOff>152400</xdr:rowOff>
              </to>
            </anchor>
          </controlPr>
        </control>
      </mc:Choice>
      <mc:Fallback>
        <control shapeId="1041" r:id="rId11" name="CommandButton5"/>
      </mc:Fallback>
    </mc:AlternateContent>
    <mc:AlternateContent xmlns:mc="http://schemas.openxmlformats.org/markup-compatibility/2006">
      <mc:Choice Requires="x14">
        <control shapeId="1040" r:id="rId13" name="CommandButton4">
          <controlPr autoLine="0" r:id="rId14">
            <anchor moveWithCells="1">
              <from>
                <xdr:col>6</xdr:col>
                <xdr:colOff>457200</xdr:colOff>
                <xdr:row>12</xdr:row>
                <xdr:rowOff>114300</xdr:rowOff>
              </from>
              <to>
                <xdr:col>8</xdr:col>
                <xdr:colOff>495300</xdr:colOff>
                <xdr:row>14</xdr:row>
                <xdr:rowOff>142875</xdr:rowOff>
              </to>
            </anchor>
          </controlPr>
        </control>
      </mc:Choice>
      <mc:Fallback>
        <control shapeId="1040" r:id="rId13" name="CommandButton4"/>
      </mc:Fallback>
    </mc:AlternateContent>
    <mc:AlternateContent xmlns:mc="http://schemas.openxmlformats.org/markup-compatibility/2006">
      <mc:Choice Requires="x14">
        <control shapeId="1039" r:id="rId15" name="CommandButton3">
          <controlPr autoLine="0" r:id="rId16">
            <anchor moveWithCells="1">
              <from>
                <xdr:col>4</xdr:col>
                <xdr:colOff>123825</xdr:colOff>
                <xdr:row>12</xdr:row>
                <xdr:rowOff>114300</xdr:rowOff>
              </from>
              <to>
                <xdr:col>6</xdr:col>
                <xdr:colOff>161925</xdr:colOff>
                <xdr:row>14</xdr:row>
                <xdr:rowOff>142875</xdr:rowOff>
              </to>
            </anchor>
          </controlPr>
        </control>
      </mc:Choice>
      <mc:Fallback>
        <control shapeId="1039" r:id="rId15" name="CommandButton3"/>
      </mc:Fallback>
    </mc:AlternateContent>
    <mc:AlternateContent xmlns:mc="http://schemas.openxmlformats.org/markup-compatibility/2006">
      <mc:Choice Requires="x14">
        <control shapeId="1038" r:id="rId17" name="CommandButton2">
          <controlPr autoLine="0" r:id="rId18">
            <anchor moveWithCells="1">
              <from>
                <xdr:col>6</xdr:col>
                <xdr:colOff>457200</xdr:colOff>
                <xdr:row>9</xdr:row>
                <xdr:rowOff>123825</xdr:rowOff>
              </from>
              <to>
                <xdr:col>8</xdr:col>
                <xdr:colOff>495300</xdr:colOff>
                <xdr:row>11</xdr:row>
                <xdr:rowOff>152400</xdr:rowOff>
              </to>
            </anchor>
          </controlPr>
        </control>
      </mc:Choice>
      <mc:Fallback>
        <control shapeId="1038" r:id="rId17" name="CommandButton2"/>
      </mc:Fallback>
    </mc:AlternateContent>
    <mc:AlternateContent xmlns:mc="http://schemas.openxmlformats.org/markup-compatibility/2006">
      <mc:Choice Requires="x14">
        <control shapeId="1034" r:id="rId19" name="CommandButton1">
          <controlPr autoLine="0" r:id="rId20">
            <anchor moveWithCells="1">
              <from>
                <xdr:col>4</xdr:col>
                <xdr:colOff>123825</xdr:colOff>
                <xdr:row>9</xdr:row>
                <xdr:rowOff>123825</xdr:rowOff>
              </from>
              <to>
                <xdr:col>6</xdr:col>
                <xdr:colOff>161925</xdr:colOff>
                <xdr:row>11</xdr:row>
                <xdr:rowOff>152400</xdr:rowOff>
              </to>
            </anchor>
          </controlPr>
        </control>
      </mc:Choice>
      <mc:Fallback>
        <control shapeId="1034" r:id="rId19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27"/>
  <sheetViews>
    <sheetView zoomScale="85" zoomScaleNormal="85" workbookViewId="0">
      <selection activeCell="E40" sqref="E40"/>
    </sheetView>
  </sheetViews>
  <sheetFormatPr defaultRowHeight="16.5" x14ac:dyDescent="0.3"/>
  <cols>
    <col min="1" max="1" width="6.5" style="2" customWidth="1"/>
    <col min="2" max="2" width="7.125" style="2" bestFit="1" customWidth="1"/>
    <col min="3" max="3" width="10.25" style="2" bestFit="1" customWidth="1"/>
    <col min="4" max="4" width="11.25" style="2" bestFit="1" customWidth="1"/>
    <col min="5" max="5" width="14.375" style="2" bestFit="1" customWidth="1"/>
    <col min="6" max="6" width="11" style="2" bestFit="1" customWidth="1"/>
    <col min="7" max="7" width="9" style="2"/>
    <col min="8" max="8" width="10.25" style="2" customWidth="1"/>
    <col min="9" max="9" width="14.625" style="2" customWidth="1"/>
    <col min="10" max="10" width="10.25" style="5" customWidth="1"/>
    <col min="11" max="11" width="9.75" style="5" bestFit="1" customWidth="1"/>
  </cols>
  <sheetData>
    <row r="1" spans="1:15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915</v>
      </c>
      <c r="I1" s="2" t="s">
        <v>7</v>
      </c>
      <c r="J1" s="2" t="s">
        <v>916</v>
      </c>
      <c r="K1" s="2" t="s">
        <v>8</v>
      </c>
      <c r="L1" s="2" t="s">
        <v>930</v>
      </c>
      <c r="M1" s="2" t="s">
        <v>931</v>
      </c>
      <c r="N1" s="2" t="s">
        <v>932</v>
      </c>
      <c r="O1" s="2" t="s">
        <v>933</v>
      </c>
    </row>
    <row r="2" spans="1:15" x14ac:dyDescent="0.3">
      <c r="A2" s="2">
        <v>1</v>
      </c>
      <c r="B2" s="2" t="s">
        <v>9</v>
      </c>
      <c r="C2" s="2" t="s">
        <v>939</v>
      </c>
      <c r="D2" s="2" t="s">
        <v>938</v>
      </c>
      <c r="E2" s="2" t="s">
        <v>935</v>
      </c>
      <c r="F2" s="2" t="s">
        <v>936</v>
      </c>
      <c r="G2" s="2" t="s">
        <v>937</v>
      </c>
      <c r="H2" s="2">
        <f>COUNTIF(표5[회원번호],표1[[#This Row],[번호]]) +COUNTIFS(상품!C:C,표1[[#This Row],[번호]],상품!F:F,TRUE)</f>
        <v>8</v>
      </c>
      <c r="I2" s="2" t="s">
        <v>941</v>
      </c>
      <c r="J2" s="2">
        <f>36.5+ SUMIF(표5[회원번호],표1[[#This Row],[번호]],표6[온도])</f>
        <v>36.299999999999997</v>
      </c>
      <c r="K2" s="14">
        <v>32000</v>
      </c>
      <c r="L2" s="23" t="str">
        <f>표1[[#This Row],[이름]]</f>
        <v>박지윤</v>
      </c>
      <c r="M2" s="23">
        <f>COUNTIFS(상품!C:C,표1[[#This Row],[번호]],상품!F:F,TRUE)</f>
        <v>1</v>
      </c>
      <c r="N2" s="23">
        <f xml:space="preserve"> COUNTIFS(상품!C:C,표1[[#This Row],[번호]],상품!F:F,FALSE)</f>
        <v>9</v>
      </c>
      <c r="O2" s="2">
        <f>SUM(표1[[#This Row],[열2]:[열3]])</f>
        <v>10</v>
      </c>
    </row>
    <row r="3" spans="1:15" x14ac:dyDescent="0.3">
      <c r="A3" s="2">
        <v>2</v>
      </c>
      <c r="B3" s="2" t="s">
        <v>12</v>
      </c>
      <c r="C3" s="2" t="s">
        <v>13</v>
      </c>
      <c r="D3" s="2" t="s">
        <v>14</v>
      </c>
      <c r="E3" s="2" t="s">
        <v>15</v>
      </c>
      <c r="F3" s="2" t="s">
        <v>16</v>
      </c>
      <c r="G3" s="2" t="s">
        <v>17</v>
      </c>
      <c r="H3" s="2">
        <f>COUNTIF(표5[회원번호],표1[[#This Row],[번호]]) +COUNTIFS(상품!C:C,표1[[#This Row],[번호]],상품!F:F,TRUE)</f>
        <v>5</v>
      </c>
      <c r="I3" s="2" t="s">
        <v>18</v>
      </c>
      <c r="J3" s="2">
        <f>36.5+ SUMIF(표5[회원번호],표1[[#This Row],[번호]],표6[온도])</f>
        <v>36.700000000000003</v>
      </c>
      <c r="K3" s="14">
        <v>14000</v>
      </c>
      <c r="L3" s="23" t="str">
        <f>표1[[#This Row],[이름]]</f>
        <v>이수현</v>
      </c>
      <c r="M3" s="23">
        <f>COUNTIFS(상품!C:C,표1[[#This Row],[번호]],상품!F:F,TRUE)</f>
        <v>3</v>
      </c>
      <c r="N3" s="23">
        <f xml:space="preserve"> COUNTIFS(상품!C:C,표1[[#This Row],[번호]],상품!F:F,FALSE)</f>
        <v>7</v>
      </c>
      <c r="O3" s="2">
        <f>SUM(표1[[#This Row],[열2]:[열3]])</f>
        <v>10</v>
      </c>
    </row>
    <row r="4" spans="1:15" x14ac:dyDescent="0.3">
      <c r="A4" s="2">
        <v>3</v>
      </c>
      <c r="B4" s="2" t="s">
        <v>19</v>
      </c>
      <c r="C4" s="2" t="s">
        <v>20</v>
      </c>
      <c r="D4" s="2" t="s">
        <v>21</v>
      </c>
      <c r="E4" s="2" t="s">
        <v>22</v>
      </c>
      <c r="F4" s="2" t="s">
        <v>23</v>
      </c>
      <c r="G4" s="2" t="s">
        <v>24</v>
      </c>
      <c r="H4" s="2">
        <f>COUNTIF(표5[회원번호],표1[[#This Row],[번호]]) +COUNTIFS(상품!C:C,표1[[#This Row],[번호]],상품!F:F,TRUE)</f>
        <v>2</v>
      </c>
      <c r="I4" s="2" t="s">
        <v>25</v>
      </c>
      <c r="J4" s="2">
        <f>36.5+ SUMIF(표5[회원번호],표1[[#This Row],[번호]],표6[온도])</f>
        <v>36.5</v>
      </c>
      <c r="K4" s="14">
        <v>8000</v>
      </c>
      <c r="L4" s="23" t="str">
        <f>표1[[#This Row],[이름]]</f>
        <v>박서우</v>
      </c>
      <c r="M4" s="23">
        <f>COUNTIFS(상품!C:C,표1[[#This Row],[번호]],상품!F:F,TRUE)</f>
        <v>1</v>
      </c>
      <c r="N4" s="23">
        <f xml:space="preserve"> COUNTIFS(상품!C:C,표1[[#This Row],[번호]],상품!F:F,FALSE)</f>
        <v>9</v>
      </c>
      <c r="O4" s="2">
        <f>SUM(표1[[#This Row],[열2]:[열3]])</f>
        <v>10</v>
      </c>
    </row>
    <row r="5" spans="1:15" x14ac:dyDescent="0.3">
      <c r="A5" s="2">
        <v>4</v>
      </c>
      <c r="B5" s="2" t="s">
        <v>26</v>
      </c>
      <c r="C5" s="2" t="s">
        <v>27</v>
      </c>
      <c r="D5" s="2" t="s">
        <v>28</v>
      </c>
      <c r="E5" s="2" t="s">
        <v>29</v>
      </c>
      <c r="F5" s="2" t="s">
        <v>30</v>
      </c>
      <c r="G5" s="2" t="s">
        <v>31</v>
      </c>
      <c r="H5" s="2">
        <f>COUNTIF(표5[회원번호],표1[[#This Row],[번호]]) +COUNTIFS(상품!C:C,표1[[#This Row],[번호]],상품!F:F,TRUE)</f>
        <v>4</v>
      </c>
      <c r="I5" s="2" t="s">
        <v>32</v>
      </c>
      <c r="J5" s="2">
        <f>36.5+ SUMIF(표5[회원번호],표1[[#This Row],[번호]],표6[온도])</f>
        <v>36.5</v>
      </c>
      <c r="K5" s="14">
        <v>52000</v>
      </c>
      <c r="L5" s="23" t="str">
        <f>표1[[#This Row],[이름]]</f>
        <v>정시현</v>
      </c>
      <c r="M5" s="23">
        <f>COUNTIFS(상품!C:C,표1[[#This Row],[번호]],상품!F:F,TRUE)</f>
        <v>0</v>
      </c>
      <c r="N5" s="23">
        <f xml:space="preserve"> COUNTIFS(상품!C:C,표1[[#This Row],[번호]],상품!F:F,FALSE)</f>
        <v>10</v>
      </c>
      <c r="O5" s="2">
        <f>SUM(표1[[#This Row],[열2]:[열3]])</f>
        <v>10</v>
      </c>
    </row>
    <row r="6" spans="1:15" x14ac:dyDescent="0.3">
      <c r="A6" s="2">
        <v>5</v>
      </c>
      <c r="B6" s="2" t="s">
        <v>33</v>
      </c>
      <c r="C6" s="2" t="s">
        <v>34</v>
      </c>
      <c r="D6" s="2" t="s">
        <v>35</v>
      </c>
      <c r="E6" s="2" t="s">
        <v>36</v>
      </c>
      <c r="F6" s="2" t="s">
        <v>37</v>
      </c>
      <c r="G6" s="2" t="s">
        <v>38</v>
      </c>
      <c r="H6" s="2">
        <f>COUNTIF(표5[회원번호],표1[[#This Row],[번호]]) +COUNTIFS(상품!C:C,표1[[#This Row],[번호]],상품!F:F,TRUE)</f>
        <v>3</v>
      </c>
      <c r="I6" s="2" t="s">
        <v>39</v>
      </c>
      <c r="J6" s="2">
        <f>36.5+ SUMIF(표5[회원번호],표1[[#This Row],[번호]],표6[온도])</f>
        <v>36.5</v>
      </c>
      <c r="K6" s="14">
        <v>16000</v>
      </c>
      <c r="L6" s="23" t="str">
        <f>표1[[#This Row],[이름]]</f>
        <v>강현서</v>
      </c>
      <c r="M6" s="23">
        <f>COUNTIFS(상품!C:C,표1[[#This Row],[번호]],상품!F:F,TRUE)</f>
        <v>3</v>
      </c>
      <c r="N6" s="23">
        <f xml:space="preserve"> COUNTIFS(상품!C:C,표1[[#This Row],[번호]],상품!F:F,FALSE)</f>
        <v>6</v>
      </c>
      <c r="O6" s="2">
        <f>SUM(표1[[#This Row],[열2]:[열3]])</f>
        <v>9</v>
      </c>
    </row>
    <row r="7" spans="1:15" x14ac:dyDescent="0.3">
      <c r="A7" s="2">
        <v>6</v>
      </c>
      <c r="B7" s="2" t="s">
        <v>40</v>
      </c>
      <c r="C7" s="2" t="s">
        <v>41</v>
      </c>
      <c r="D7" s="2" t="s">
        <v>940</v>
      </c>
      <c r="E7" s="2" t="s">
        <v>935</v>
      </c>
      <c r="F7" s="2" t="s">
        <v>936</v>
      </c>
      <c r="G7" s="2" t="s">
        <v>937</v>
      </c>
      <c r="H7" s="2">
        <f>COUNTIF(표5[회원번호],표1[[#This Row],[번호]]) +COUNTIFS(상품!C:C,표1[[#This Row],[번호]],상품!F:F,TRUE)</f>
        <v>1</v>
      </c>
      <c r="I7" s="2" t="s">
        <v>43</v>
      </c>
      <c r="J7" s="2">
        <f>36.5+ SUMIF(표5[회원번호],표1[[#This Row],[번호]],표6[온도])</f>
        <v>36.5</v>
      </c>
      <c r="K7" s="14">
        <v>9000</v>
      </c>
      <c r="L7" s="23" t="str">
        <f>표1[[#This Row],[이름]]</f>
        <v>윤하진</v>
      </c>
      <c r="M7" s="23">
        <f>COUNTIFS(상품!C:C,표1[[#This Row],[번호]],상품!F:F,TRUE)</f>
        <v>1</v>
      </c>
      <c r="N7" s="23">
        <f xml:space="preserve"> COUNTIFS(상품!C:C,표1[[#This Row],[번호]],상품!F:F,FALSE)</f>
        <v>9</v>
      </c>
      <c r="O7" s="2">
        <f>SUM(표1[[#This Row],[열2]:[열3]])</f>
        <v>10</v>
      </c>
    </row>
    <row r="8" spans="1:15" x14ac:dyDescent="0.3">
      <c r="A8" s="2">
        <v>7</v>
      </c>
      <c r="B8" s="2" t="s">
        <v>44</v>
      </c>
      <c r="C8" s="2" t="s">
        <v>45</v>
      </c>
      <c r="D8" s="2" t="s">
        <v>46</v>
      </c>
      <c r="E8" s="2" t="s">
        <v>47</v>
      </c>
      <c r="F8" s="2" t="s">
        <v>16</v>
      </c>
      <c r="G8" s="2" t="s">
        <v>48</v>
      </c>
      <c r="H8" s="2">
        <f>COUNTIF(표5[회원번호],표1[[#This Row],[번호]]) +COUNTIFS(상품!C:C,표1[[#This Row],[번호]],상품!F:F,TRUE)</f>
        <v>4</v>
      </c>
      <c r="I8" s="2" t="s">
        <v>49</v>
      </c>
      <c r="J8" s="2">
        <f>36.5+ SUMIF(표5[회원번호],표1[[#This Row],[번호]],표6[온도])</f>
        <v>36.5</v>
      </c>
      <c r="K8" s="14">
        <v>2000</v>
      </c>
      <c r="L8" s="23" t="str">
        <f>표1[[#This Row],[이름]]</f>
        <v>장하람</v>
      </c>
      <c r="M8" s="23">
        <f>COUNTIFS(상품!C:C,표1[[#This Row],[번호]],상품!F:F,TRUE)</f>
        <v>4</v>
      </c>
      <c r="N8" s="23">
        <f xml:space="preserve"> COUNTIFS(상품!C:C,표1[[#This Row],[번호]],상품!F:F,FALSE)</f>
        <v>6</v>
      </c>
      <c r="O8" s="2">
        <f>SUM(표1[[#This Row],[열2]:[열3]])</f>
        <v>10</v>
      </c>
    </row>
    <row r="9" spans="1:15" x14ac:dyDescent="0.3">
      <c r="A9" s="2">
        <v>8</v>
      </c>
      <c r="B9" s="2" t="s">
        <v>50</v>
      </c>
      <c r="C9" s="2" t="s">
        <v>51</v>
      </c>
      <c r="D9" s="2" t="s">
        <v>52</v>
      </c>
      <c r="E9" s="2" t="s">
        <v>53</v>
      </c>
      <c r="F9" s="2" t="s">
        <v>23</v>
      </c>
      <c r="G9" s="2" t="s">
        <v>54</v>
      </c>
      <c r="H9" s="2">
        <f>COUNTIF(표5[회원번호],표1[[#This Row],[번호]]) +COUNTIFS(상품!C:C,표1[[#This Row],[번호]],상품!F:F,TRUE)</f>
        <v>5</v>
      </c>
      <c r="I9" s="2" t="s">
        <v>55</v>
      </c>
      <c r="J9" s="2">
        <f>36.5+ SUMIF(표5[회원번호],표1[[#This Row],[번호]],표6[온도])</f>
        <v>36.700000000000003</v>
      </c>
      <c r="K9" s="14">
        <v>0</v>
      </c>
      <c r="L9" s="23" t="str">
        <f>표1[[#This Row],[이름]]</f>
        <v>임라온</v>
      </c>
      <c r="M9" s="23">
        <f>COUNTIFS(상품!C:C,표1[[#This Row],[번호]],상품!F:F,TRUE)</f>
        <v>1</v>
      </c>
      <c r="N9" s="23">
        <f xml:space="preserve"> COUNTIFS(상품!C:C,표1[[#This Row],[번호]],상품!F:F,FALSE)</f>
        <v>8</v>
      </c>
      <c r="O9" s="2">
        <f>SUM(표1[[#This Row],[열2]:[열3]])</f>
        <v>9</v>
      </c>
    </row>
    <row r="10" spans="1:15" x14ac:dyDescent="0.3">
      <c r="A10" s="2">
        <v>9</v>
      </c>
      <c r="B10" s="2" t="s">
        <v>56</v>
      </c>
      <c r="C10" s="2" t="s">
        <v>57</v>
      </c>
      <c r="D10" s="2" t="s">
        <v>58</v>
      </c>
      <c r="E10" s="2" t="s">
        <v>59</v>
      </c>
      <c r="F10" s="2" t="s">
        <v>30</v>
      </c>
      <c r="G10" s="2" t="s">
        <v>60</v>
      </c>
      <c r="H10" s="2">
        <f>COUNTIF(표5[회원번호],표1[[#This Row],[번호]]) +COUNTIFS(상품!C:C,표1[[#This Row],[번호]],상품!F:F,TRUE)</f>
        <v>4</v>
      </c>
      <c r="I10" s="2" t="s">
        <v>61</v>
      </c>
      <c r="J10" s="2">
        <f>36.5+ SUMIF(표5[회원번호],표1[[#This Row],[번호]],표6[온도])</f>
        <v>36.299999999999997</v>
      </c>
      <c r="K10" s="14">
        <v>15000</v>
      </c>
      <c r="L10" s="23" t="str">
        <f>표1[[#This Row],[이름]]</f>
        <v>전재희</v>
      </c>
      <c r="M10" s="23">
        <f>COUNTIFS(상품!C:C,표1[[#This Row],[번호]],상품!F:F,TRUE)</f>
        <v>3</v>
      </c>
      <c r="N10" s="23">
        <f xml:space="preserve"> COUNTIFS(상품!C:C,표1[[#This Row],[번호]],상품!F:F,FALSE)</f>
        <v>7</v>
      </c>
      <c r="O10" s="2">
        <f>SUM(표1[[#This Row],[열2]:[열3]])</f>
        <v>10</v>
      </c>
    </row>
    <row r="11" spans="1:15" x14ac:dyDescent="0.3">
      <c r="A11" s="2">
        <v>10</v>
      </c>
      <c r="B11" s="2" t="s">
        <v>62</v>
      </c>
      <c r="C11" s="2" t="s">
        <v>63</v>
      </c>
      <c r="D11" s="2" t="s">
        <v>64</v>
      </c>
      <c r="E11" s="2" t="s">
        <v>65</v>
      </c>
      <c r="F11" s="2" t="s">
        <v>10</v>
      </c>
      <c r="G11" s="2" t="s">
        <v>66</v>
      </c>
      <c r="H11" s="2">
        <f>COUNTIF(표5[회원번호],표1[[#This Row],[번호]]) +COUNTIFS(상품!C:C,표1[[#This Row],[번호]],상품!F:F,TRUE)</f>
        <v>5</v>
      </c>
      <c r="I11" s="2" t="s">
        <v>67</v>
      </c>
      <c r="J11" s="2">
        <f>36.5+ SUMIF(표5[회원번호],표1[[#This Row],[번호]],표6[온도])</f>
        <v>36.700000000000003</v>
      </c>
      <c r="K11" s="14">
        <v>8000</v>
      </c>
      <c r="L11" s="23" t="str">
        <f>표1[[#This Row],[이름]]</f>
        <v>황가온</v>
      </c>
      <c r="M11" s="23">
        <f>COUNTIFS(상품!C:C,표1[[#This Row],[번호]],상품!F:F,TRUE)</f>
        <v>3</v>
      </c>
      <c r="N11" s="23">
        <f xml:space="preserve"> COUNTIFS(상품!C:C,표1[[#This Row],[번호]],상품!F:F,FALSE)</f>
        <v>6</v>
      </c>
      <c r="O11" s="2">
        <f>SUM(표1[[#This Row],[열2]:[열3]])</f>
        <v>9</v>
      </c>
    </row>
    <row r="12" spans="1:15" x14ac:dyDescent="0.3">
      <c r="A12" s="2">
        <v>11</v>
      </c>
      <c r="B12" s="2" t="s">
        <v>68</v>
      </c>
      <c r="C12" s="2" t="s">
        <v>69</v>
      </c>
      <c r="D12" s="2" t="s">
        <v>70</v>
      </c>
      <c r="E12" s="2" t="s">
        <v>71</v>
      </c>
      <c r="F12" s="2" t="s">
        <v>37</v>
      </c>
      <c r="G12" s="2" t="s">
        <v>72</v>
      </c>
      <c r="H12" s="2">
        <f>COUNTIF(표5[회원번호],표1[[#This Row],[번호]]) +COUNTIFS(상품!C:C,표1[[#This Row],[번호]],상품!F:F,TRUE)</f>
        <v>3</v>
      </c>
      <c r="I12" s="2" t="s">
        <v>73</v>
      </c>
      <c r="J12" s="2">
        <f>36.5+ SUMIF(표5[회원번호],표1[[#This Row],[번호]],표6[온도])</f>
        <v>36.5</v>
      </c>
      <c r="K12" s="14">
        <v>16000</v>
      </c>
      <c r="L12" s="23" t="str">
        <f>표1[[#This Row],[이름]]</f>
        <v>정은수</v>
      </c>
      <c r="M12" s="23">
        <f>COUNTIFS(상품!C:C,표1[[#This Row],[번호]],상품!F:F,TRUE)</f>
        <v>2</v>
      </c>
      <c r="N12" s="23">
        <f xml:space="preserve"> COUNTIFS(상품!C:C,표1[[#This Row],[번호]],상품!F:F,FALSE)</f>
        <v>8</v>
      </c>
      <c r="O12" s="2">
        <f>SUM(표1[[#This Row],[열2]:[열3]])</f>
        <v>10</v>
      </c>
    </row>
    <row r="13" spans="1:15" x14ac:dyDescent="0.3">
      <c r="A13" s="2">
        <v>12</v>
      </c>
      <c r="B13" s="2" t="s">
        <v>74</v>
      </c>
      <c r="C13" s="2" t="s">
        <v>75</v>
      </c>
      <c r="D13" s="2" t="s">
        <v>76</v>
      </c>
      <c r="E13" s="2" t="s">
        <v>77</v>
      </c>
      <c r="F13" s="2" t="s">
        <v>16</v>
      </c>
      <c r="G13" s="2" t="s">
        <v>78</v>
      </c>
      <c r="H13" s="2">
        <f>COUNTIF(표5[회원번호],표1[[#This Row],[번호]]) +COUNTIFS(상품!C:C,표1[[#This Row],[번호]],상품!F:F,TRUE)</f>
        <v>3</v>
      </c>
      <c r="I13" s="2" t="s">
        <v>79</v>
      </c>
      <c r="J13" s="2">
        <f>36.5+ SUMIF(표5[회원번호],표1[[#This Row],[번호]],표6[온도])</f>
        <v>36.700000000000003</v>
      </c>
      <c r="K13" s="14">
        <v>7400</v>
      </c>
      <c r="L13" s="23" t="str">
        <f>표1[[#This Row],[이름]]</f>
        <v>강진서</v>
      </c>
      <c r="M13" s="23">
        <f>COUNTIFS(상품!C:C,표1[[#This Row],[번호]],상품!F:F,TRUE)</f>
        <v>2</v>
      </c>
      <c r="N13" s="23">
        <f xml:space="preserve"> COUNTIFS(상품!C:C,표1[[#This Row],[번호]],상품!F:F,FALSE)</f>
        <v>8</v>
      </c>
      <c r="O13" s="2">
        <f>SUM(표1[[#This Row],[열2]:[열3]])</f>
        <v>10</v>
      </c>
    </row>
    <row r="14" spans="1:15" x14ac:dyDescent="0.3">
      <c r="A14" s="2">
        <v>13</v>
      </c>
      <c r="B14" s="2" t="s">
        <v>80</v>
      </c>
      <c r="C14" s="2" t="s">
        <v>81</v>
      </c>
      <c r="D14" s="2" t="s">
        <v>82</v>
      </c>
      <c r="E14" s="2" t="s">
        <v>83</v>
      </c>
      <c r="F14" s="2" t="s">
        <v>23</v>
      </c>
      <c r="G14" s="2" t="s">
        <v>84</v>
      </c>
      <c r="H14" s="2">
        <f>COUNTIF(표5[회원번호],표1[[#This Row],[번호]]) +COUNTIFS(상품!C:C,표1[[#This Row],[번호]],상품!F:F,TRUE)</f>
        <v>4</v>
      </c>
      <c r="I14" s="2" t="s">
        <v>85</v>
      </c>
      <c r="J14" s="2">
        <f>36.5+ SUMIF(표5[회원번호],표1[[#This Row],[번호]],표6[온도])</f>
        <v>36.5</v>
      </c>
      <c r="K14" s="14">
        <v>1000</v>
      </c>
      <c r="L14" s="23" t="str">
        <f>표1[[#This Row],[이름]]</f>
        <v>임주현</v>
      </c>
      <c r="M14" s="23">
        <f>COUNTIFS(상품!C:C,표1[[#This Row],[번호]],상품!F:F,TRUE)</f>
        <v>2</v>
      </c>
      <c r="N14" s="23">
        <f xml:space="preserve"> COUNTIFS(상품!C:C,표1[[#This Row],[번호]],상품!F:F,FALSE)</f>
        <v>7</v>
      </c>
      <c r="O14" s="2">
        <f>SUM(표1[[#This Row],[열2]:[열3]])</f>
        <v>9</v>
      </c>
    </row>
    <row r="15" spans="1:15" x14ac:dyDescent="0.3">
      <c r="A15" s="2">
        <v>14</v>
      </c>
      <c r="B15" s="2" t="s">
        <v>86</v>
      </c>
      <c r="C15" s="2" t="s">
        <v>87</v>
      </c>
      <c r="D15" s="2" t="s">
        <v>88</v>
      </c>
      <c r="E15" s="2" t="s">
        <v>89</v>
      </c>
      <c r="F15" s="2" t="s">
        <v>10</v>
      </c>
      <c r="G15" s="2" t="s">
        <v>90</v>
      </c>
      <c r="H15" s="2">
        <f>COUNTIF(표5[회원번호],표1[[#This Row],[번호]]) +COUNTIFS(상품!C:C,표1[[#This Row],[번호]],상품!F:F,TRUE)</f>
        <v>4</v>
      </c>
      <c r="I15" s="2" t="s">
        <v>91</v>
      </c>
      <c r="J15" s="2">
        <f>36.5+ SUMIF(표5[회원번호],표1[[#This Row],[번호]],표6[온도])</f>
        <v>36.5</v>
      </c>
      <c r="K15" s="14">
        <v>0</v>
      </c>
      <c r="L15" s="23" t="str">
        <f>표1[[#This Row],[이름]]</f>
        <v>정하루</v>
      </c>
      <c r="M15" s="23">
        <f>COUNTIFS(상품!C:C,표1[[#This Row],[번호]],상품!F:F,TRUE)</f>
        <v>2</v>
      </c>
      <c r="N15" s="23">
        <f xml:space="preserve"> COUNTIFS(상품!C:C,표1[[#This Row],[번호]],상품!F:F,FALSE)</f>
        <v>8</v>
      </c>
      <c r="O15" s="2">
        <f>SUM(표1[[#This Row],[열2]:[열3]])</f>
        <v>10</v>
      </c>
    </row>
    <row r="16" spans="1:15" x14ac:dyDescent="0.3">
      <c r="A16" s="2">
        <v>15</v>
      </c>
      <c r="B16" s="2" t="s">
        <v>92</v>
      </c>
      <c r="C16" s="2" t="s">
        <v>93</v>
      </c>
      <c r="D16" s="2" t="s">
        <v>94</v>
      </c>
      <c r="E16" s="2" t="s">
        <v>95</v>
      </c>
      <c r="F16" s="2" t="s">
        <v>37</v>
      </c>
      <c r="G16" s="2" t="s">
        <v>96</v>
      </c>
      <c r="H16" s="2">
        <f>COUNTIF(표5[회원번호],표1[[#This Row],[번호]]) +COUNTIFS(상품!C:C,표1[[#This Row],[번호]],상품!F:F,TRUE)</f>
        <v>5</v>
      </c>
      <c r="I16" s="2" t="s">
        <v>97</v>
      </c>
      <c r="J16" s="2">
        <f>36.5+ SUMIF(표5[회원번호],표1[[#This Row],[번호]],표6[온도])</f>
        <v>36.700000000000003</v>
      </c>
      <c r="K16" s="14">
        <v>0</v>
      </c>
      <c r="L16" s="23" t="str">
        <f>표1[[#This Row],[이름]]</f>
        <v>윤이수</v>
      </c>
      <c r="M16" s="23">
        <f>COUNTIFS(상품!C:C,표1[[#This Row],[번호]],상품!F:F,TRUE)</f>
        <v>2</v>
      </c>
      <c r="N16" s="23">
        <f xml:space="preserve"> COUNTIFS(상품!C:C,표1[[#This Row],[번호]],상품!F:F,FALSE)</f>
        <v>8</v>
      </c>
      <c r="O16" s="2">
        <f>SUM(표1[[#This Row],[열2]:[열3]])</f>
        <v>10</v>
      </c>
    </row>
    <row r="17" spans="1:15" x14ac:dyDescent="0.3">
      <c r="A17" s="2">
        <v>16</v>
      </c>
      <c r="B17" s="2" t="s">
        <v>98</v>
      </c>
      <c r="C17" s="2" t="s">
        <v>99</v>
      </c>
      <c r="D17" s="2" t="s">
        <v>100</v>
      </c>
      <c r="E17" s="2" t="s">
        <v>101</v>
      </c>
      <c r="F17" s="2" t="s">
        <v>30</v>
      </c>
      <c r="G17" s="2" t="s">
        <v>102</v>
      </c>
      <c r="H17" s="2">
        <f>COUNTIF(표5[회원번호],표1[[#This Row],[번호]]) +COUNTIFS(상품!C:C,표1[[#This Row],[번호]],상품!F:F,TRUE)</f>
        <v>1</v>
      </c>
      <c r="I17" s="2" t="s">
        <v>103</v>
      </c>
      <c r="J17" s="2">
        <f>36.5+ SUMIF(표5[회원번호],표1[[#This Row],[번호]],표6[온도])</f>
        <v>36.700000000000003</v>
      </c>
      <c r="K17" s="14">
        <v>52000</v>
      </c>
      <c r="L17" s="23" t="str">
        <f>표1[[#This Row],[이름]]</f>
        <v>신로하</v>
      </c>
      <c r="M17" s="23">
        <f>COUNTIFS(상품!C:C,표1[[#This Row],[번호]],상품!F:F,TRUE)</f>
        <v>0</v>
      </c>
      <c r="N17" s="23">
        <f xml:space="preserve"> COUNTIFS(상품!C:C,표1[[#This Row],[번호]],상품!F:F,FALSE)</f>
        <v>9</v>
      </c>
      <c r="O17" s="2">
        <f>SUM(표1[[#This Row],[열2]:[열3]])</f>
        <v>9</v>
      </c>
    </row>
    <row r="18" spans="1:15" x14ac:dyDescent="0.3">
      <c r="A18" s="2">
        <v>17</v>
      </c>
      <c r="B18" s="2" t="s">
        <v>104</v>
      </c>
      <c r="C18" s="2" t="s">
        <v>105</v>
      </c>
      <c r="D18" s="2" t="s">
        <v>106</v>
      </c>
      <c r="E18" s="2" t="s">
        <v>107</v>
      </c>
      <c r="F18" s="2" t="s">
        <v>16</v>
      </c>
      <c r="G18" s="2" t="s">
        <v>108</v>
      </c>
      <c r="H18" s="2">
        <f>COUNTIF(표5[회원번호],표1[[#This Row],[번호]]) +COUNTIFS(상품!C:C,표1[[#This Row],[번호]],상품!F:F,TRUE)</f>
        <v>4</v>
      </c>
      <c r="I18" s="2" t="s">
        <v>109</v>
      </c>
      <c r="J18" s="2">
        <f>36.5+ SUMIF(표5[회원번호],표1[[#This Row],[번호]],표6[온도])</f>
        <v>36.700000000000003</v>
      </c>
      <c r="K18" s="14">
        <v>30000</v>
      </c>
      <c r="L18" s="23" t="str">
        <f>표1[[#This Row],[이름]]</f>
        <v>이진</v>
      </c>
      <c r="M18" s="23">
        <f>COUNTIFS(상품!C:C,표1[[#This Row],[번호]],상품!F:F,TRUE)</f>
        <v>2</v>
      </c>
      <c r="N18" s="23">
        <f xml:space="preserve"> COUNTIFS(상품!C:C,표1[[#This Row],[번호]],상품!F:F,FALSE)</f>
        <v>7</v>
      </c>
      <c r="O18" s="2">
        <f>SUM(표1[[#This Row],[열2]:[열3]])</f>
        <v>9</v>
      </c>
    </row>
    <row r="19" spans="1:15" x14ac:dyDescent="0.3">
      <c r="A19" s="2">
        <v>18</v>
      </c>
      <c r="B19" s="2" t="s">
        <v>110</v>
      </c>
      <c r="C19" s="2" t="s">
        <v>111</v>
      </c>
      <c r="D19" s="2" t="s">
        <v>112</v>
      </c>
      <c r="E19" s="2" t="s">
        <v>113</v>
      </c>
      <c r="F19" s="2" t="s">
        <v>37</v>
      </c>
      <c r="G19" s="2" t="s">
        <v>114</v>
      </c>
      <c r="H19" s="2">
        <f>COUNTIF(표5[회원번호],표1[[#This Row],[번호]]) +COUNTIFS(상품!C:C,표1[[#This Row],[번호]],상품!F:F,TRUE)</f>
        <v>2</v>
      </c>
      <c r="I19" s="2" t="s">
        <v>115</v>
      </c>
      <c r="J19" s="2">
        <f>36.5+ SUMIF(표5[회원번호],표1[[#This Row],[번호]],표6[온도])</f>
        <v>36.700000000000003</v>
      </c>
      <c r="K19" s="14">
        <v>12000</v>
      </c>
      <c r="L19" s="23" t="str">
        <f>표1[[#This Row],[이름]]</f>
        <v>유해솔</v>
      </c>
      <c r="M19" s="23">
        <f>COUNTIFS(상품!C:C,표1[[#This Row],[번호]],상품!F:F,TRUE)</f>
        <v>1</v>
      </c>
      <c r="N19" s="23">
        <f xml:space="preserve"> COUNTIFS(상품!C:C,표1[[#This Row],[번호]],상품!F:F,FALSE)</f>
        <v>9</v>
      </c>
      <c r="O19" s="2">
        <f>SUM(표1[[#This Row],[열2]:[열3]])</f>
        <v>10</v>
      </c>
    </row>
    <row r="20" spans="1:15" x14ac:dyDescent="0.3">
      <c r="A20" s="2">
        <v>19</v>
      </c>
      <c r="B20" s="2" t="s">
        <v>116</v>
      </c>
      <c r="C20" s="2" t="s">
        <v>117</v>
      </c>
      <c r="D20" s="2" t="s">
        <v>118</v>
      </c>
      <c r="E20" s="2" t="s">
        <v>119</v>
      </c>
      <c r="F20" s="2" t="s">
        <v>23</v>
      </c>
      <c r="G20" s="2" t="s">
        <v>120</v>
      </c>
      <c r="H20" s="2">
        <f>COUNTIF(표5[회원번호],표1[[#This Row],[번호]]) +COUNTIFS(상품!C:C,표1[[#This Row],[번호]],상품!F:F,TRUE)</f>
        <v>3</v>
      </c>
      <c r="I20" s="2" t="s">
        <v>121</v>
      </c>
      <c r="J20" s="2">
        <f>36.5+ SUMIF(표5[회원번호],표1[[#This Row],[번호]],표6[온도])</f>
        <v>36.5</v>
      </c>
      <c r="K20" s="14">
        <v>29000</v>
      </c>
      <c r="L20" s="23" t="str">
        <f>표1[[#This Row],[이름]]</f>
        <v>장희수</v>
      </c>
      <c r="M20" s="23">
        <f>COUNTIFS(상품!C:C,표1[[#This Row],[번호]],상품!F:F,TRUE)</f>
        <v>2</v>
      </c>
      <c r="N20" s="23">
        <f xml:space="preserve"> COUNTIFS(상품!C:C,표1[[#This Row],[번호]],상품!F:F,FALSE)</f>
        <v>7</v>
      </c>
      <c r="O20" s="2">
        <f>SUM(표1[[#This Row],[열2]:[열3]])</f>
        <v>9</v>
      </c>
    </row>
    <row r="21" spans="1:15" x14ac:dyDescent="0.3">
      <c r="A21" s="2">
        <v>20</v>
      </c>
      <c r="B21" s="2" t="s">
        <v>122</v>
      </c>
      <c r="C21" s="2" t="s">
        <v>123</v>
      </c>
      <c r="D21" s="2" t="s">
        <v>124</v>
      </c>
      <c r="E21" s="2" t="s">
        <v>125</v>
      </c>
      <c r="F21" s="2" t="s">
        <v>30</v>
      </c>
      <c r="G21" s="2" t="s">
        <v>126</v>
      </c>
      <c r="H21" s="2">
        <f>COUNTIF(표5[회원번호],표1[[#This Row],[번호]]) +COUNTIFS(상품!C:C,표1[[#This Row],[번호]],상품!F:F,TRUE)</f>
        <v>6</v>
      </c>
      <c r="I21" s="2" t="s">
        <v>127</v>
      </c>
      <c r="J21" s="2">
        <f>36.5+ SUMIF(표5[회원번호],표1[[#This Row],[번호]],표6[온도])</f>
        <v>36.299999999999997</v>
      </c>
      <c r="K21" s="14">
        <v>2000</v>
      </c>
      <c r="L21" s="23" t="str">
        <f>표1[[#This Row],[이름]]</f>
        <v>조가람</v>
      </c>
      <c r="M21" s="23">
        <f>COUNTIFS(상품!C:C,표1[[#This Row],[번호]],상품!F:F,TRUE)</f>
        <v>2</v>
      </c>
      <c r="N21" s="23">
        <f xml:space="preserve"> COUNTIFS(상품!C:C,표1[[#This Row],[번호]],상품!F:F,FALSE)</f>
        <v>8</v>
      </c>
      <c r="O21" s="2">
        <f>SUM(표1[[#This Row],[열2]:[열3]])</f>
        <v>10</v>
      </c>
    </row>
    <row r="22" spans="1:15" x14ac:dyDescent="0.3">
      <c r="A22" s="2">
        <v>21</v>
      </c>
      <c r="B22" s="2" t="s">
        <v>128</v>
      </c>
      <c r="C22" s="2" t="s">
        <v>129</v>
      </c>
      <c r="D22" s="2" t="s">
        <v>130</v>
      </c>
      <c r="E22" s="2" t="s">
        <v>131</v>
      </c>
      <c r="F22" s="2" t="s">
        <v>10</v>
      </c>
      <c r="G22" s="2" t="s">
        <v>132</v>
      </c>
      <c r="H22" s="2">
        <f>COUNTIF(표5[회원번호],표1[[#This Row],[번호]]) +COUNTIFS(상품!C:C,표1[[#This Row],[번호]],상품!F:F,TRUE)</f>
        <v>4</v>
      </c>
      <c r="I22" s="2" t="s">
        <v>133</v>
      </c>
      <c r="J22" s="2">
        <f>36.5+ SUMIF(표5[회원번호],표1[[#This Row],[번호]],표6[온도])</f>
        <v>36.700000000000003</v>
      </c>
      <c r="K22" s="14">
        <v>8000</v>
      </c>
      <c r="L22" s="23" t="str">
        <f>표1[[#This Row],[이름]]</f>
        <v>임시영</v>
      </c>
      <c r="M22" s="23">
        <f>COUNTIFS(상품!C:C,표1[[#This Row],[번호]],상품!F:F,TRUE)</f>
        <v>3</v>
      </c>
      <c r="N22" s="23">
        <f xml:space="preserve"> COUNTIFS(상품!C:C,표1[[#This Row],[번호]],상품!F:F,FALSE)</f>
        <v>7</v>
      </c>
      <c r="O22" s="2">
        <f>SUM(표1[[#This Row],[열2]:[열3]])</f>
        <v>10</v>
      </c>
    </row>
    <row r="23" spans="1:15" x14ac:dyDescent="0.3">
      <c r="A23" s="2">
        <v>22</v>
      </c>
      <c r="B23" s="2" t="s">
        <v>134</v>
      </c>
      <c r="C23" s="2" t="s">
        <v>135</v>
      </c>
      <c r="D23" s="2" t="s">
        <v>136</v>
      </c>
      <c r="E23" s="2" t="s">
        <v>137</v>
      </c>
      <c r="F23" s="2" t="s">
        <v>37</v>
      </c>
      <c r="G23" s="2" t="s">
        <v>138</v>
      </c>
      <c r="H23" s="2">
        <f>COUNTIF(표5[회원번호],표1[[#This Row],[번호]]) +COUNTIFS(상품!C:C,표1[[#This Row],[번호]],상품!F:F,TRUE)</f>
        <v>3</v>
      </c>
      <c r="I23" s="2" t="s">
        <v>139</v>
      </c>
      <c r="J23" s="2">
        <f>36.5+ SUMIF(표5[회원번호],표1[[#This Row],[번호]],표6[온도])</f>
        <v>36.299999999999997</v>
      </c>
      <c r="K23" s="14">
        <v>7500</v>
      </c>
      <c r="L23" s="23" t="str">
        <f>표1[[#This Row],[이름]]</f>
        <v>김바다</v>
      </c>
      <c r="M23" s="23">
        <f>COUNTIFS(상품!C:C,표1[[#This Row],[번호]],상품!F:F,TRUE)</f>
        <v>2</v>
      </c>
      <c r="N23" s="23">
        <f xml:space="preserve"> COUNTIFS(상품!C:C,표1[[#This Row],[번호]],상품!F:F,FALSE)</f>
        <v>8</v>
      </c>
      <c r="O23" s="2">
        <f>SUM(표1[[#This Row],[열2]:[열3]])</f>
        <v>10</v>
      </c>
    </row>
    <row r="24" spans="1:15" x14ac:dyDescent="0.3">
      <c r="A24" s="2">
        <v>23</v>
      </c>
      <c r="B24" s="2" t="s">
        <v>140</v>
      </c>
      <c r="C24" s="2" t="s">
        <v>141</v>
      </c>
      <c r="D24" s="2" t="s">
        <v>142</v>
      </c>
      <c r="E24" s="2" t="s">
        <v>143</v>
      </c>
      <c r="F24" s="2" t="s">
        <v>16</v>
      </c>
      <c r="G24" s="2" t="s">
        <v>144</v>
      </c>
      <c r="H24" s="2">
        <f>COUNTIF(표5[회원번호],표1[[#This Row],[번호]]) +COUNTIFS(상품!C:C,표1[[#This Row],[번호]],상품!F:F,TRUE)</f>
        <v>5</v>
      </c>
      <c r="I24" s="2" t="s">
        <v>145</v>
      </c>
      <c r="J24" s="2">
        <f>36.5+ SUMIF(표5[회원번호],표1[[#This Row],[번호]],표6[온도])</f>
        <v>36.700000000000003</v>
      </c>
      <c r="K24" s="14">
        <v>15000</v>
      </c>
      <c r="L24" s="23" t="str">
        <f>표1[[#This Row],[이름]]</f>
        <v>정재연</v>
      </c>
      <c r="M24" s="23">
        <f>COUNTIFS(상품!C:C,표1[[#This Row],[번호]],상품!F:F,TRUE)</f>
        <v>3</v>
      </c>
      <c r="N24" s="23">
        <f xml:space="preserve"> COUNTIFS(상품!C:C,표1[[#This Row],[번호]],상품!F:F,FALSE)</f>
        <v>6</v>
      </c>
      <c r="O24" s="2">
        <f>SUM(표1[[#This Row],[열2]:[열3]])</f>
        <v>9</v>
      </c>
    </row>
    <row r="25" spans="1:15" x14ac:dyDescent="0.3">
      <c r="A25" s="2">
        <v>24</v>
      </c>
      <c r="B25" s="2" t="s">
        <v>146</v>
      </c>
      <c r="C25" s="2" t="s">
        <v>147</v>
      </c>
      <c r="D25" s="2" t="s">
        <v>148</v>
      </c>
      <c r="E25" s="2" t="s">
        <v>149</v>
      </c>
      <c r="F25" s="2" t="s">
        <v>30</v>
      </c>
      <c r="G25" s="2" t="s">
        <v>150</v>
      </c>
      <c r="H25" s="2">
        <f>COUNTIF(표5[회원번호],표1[[#This Row],[번호]]) +COUNTIFS(상품!C:C,표1[[#This Row],[번호]],상품!F:F,TRUE)</f>
        <v>1</v>
      </c>
      <c r="I25" s="2" t="s">
        <v>151</v>
      </c>
      <c r="J25" s="2">
        <f>36.5+ SUMIF(표5[회원번호],표1[[#This Row],[번호]],표6[온도])</f>
        <v>36.5</v>
      </c>
      <c r="K25" s="14">
        <v>40000</v>
      </c>
      <c r="L25" s="23" t="str">
        <f>표1[[#This Row],[이름]]</f>
        <v>강서안</v>
      </c>
      <c r="M25" s="23">
        <f>COUNTIFS(상품!C:C,표1[[#This Row],[번호]],상품!F:F,TRUE)</f>
        <v>0</v>
      </c>
      <c r="N25" s="23">
        <f xml:space="preserve"> COUNTIFS(상품!C:C,표1[[#This Row],[번호]],상품!F:F,FALSE)</f>
        <v>9</v>
      </c>
      <c r="O25" s="2">
        <f>SUM(표1[[#This Row],[열2]:[열3]])</f>
        <v>9</v>
      </c>
    </row>
    <row r="26" spans="1:15" x14ac:dyDescent="0.3">
      <c r="A26" s="2">
        <v>25</v>
      </c>
      <c r="B26" s="2" t="s">
        <v>152</v>
      </c>
      <c r="C26" s="2" t="s">
        <v>153</v>
      </c>
      <c r="D26" s="2" t="s">
        <v>154</v>
      </c>
      <c r="E26" s="2" t="s">
        <v>155</v>
      </c>
      <c r="F26" s="2" t="s">
        <v>23</v>
      </c>
      <c r="G26" s="2" t="s">
        <v>156</v>
      </c>
      <c r="H26" s="2">
        <f>COUNTIF(표5[회원번호],표1[[#This Row],[번호]]) +COUNTIFS(상품!C:C,표1[[#This Row],[번호]],상품!F:F,TRUE)</f>
        <v>1</v>
      </c>
      <c r="I26" s="2" t="s">
        <v>157</v>
      </c>
      <c r="J26" s="2">
        <f>36.5+ SUMIF(표5[회원번호],표1[[#This Row],[번호]],표6[온도])</f>
        <v>36.5</v>
      </c>
      <c r="K26" s="14">
        <v>26500</v>
      </c>
      <c r="L26" s="23" t="str">
        <f>표1[[#This Row],[이름]]</f>
        <v>이루하</v>
      </c>
      <c r="M26" s="23">
        <f>COUNTIFS(상품!C:C,표1[[#This Row],[번호]],상품!F:F,TRUE)</f>
        <v>0</v>
      </c>
      <c r="N26" s="23">
        <f xml:space="preserve"> COUNTIFS(상품!C:C,표1[[#This Row],[번호]],상품!F:F,FALSE)</f>
        <v>9</v>
      </c>
      <c r="O26" s="2">
        <f>SUM(표1[[#This Row],[열2]:[열3]])</f>
        <v>9</v>
      </c>
    </row>
    <row r="27" spans="1:15" x14ac:dyDescent="0.3">
      <c r="H27" s="23"/>
      <c r="J27" s="23"/>
      <c r="K27" s="14"/>
      <c r="L27" s="23"/>
      <c r="M27" s="23"/>
      <c r="N27" s="23"/>
      <c r="O27" s="23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6</xdr:col>
                <xdr:colOff>476250</xdr:colOff>
                <xdr:row>2</xdr:row>
                <xdr:rowOff>114300</xdr:rowOff>
              </from>
              <to>
                <xdr:col>8</xdr:col>
                <xdr:colOff>333375</xdr:colOff>
                <xdr:row>4</xdr:row>
                <xdr:rowOff>95250</xdr:rowOff>
              </to>
            </anchor>
          </controlPr>
        </control>
      </mc:Choice>
      <mc:Fallback>
        <control shapeId="2049" r:id="rId3" name="CommandButton1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13"/>
  <sheetViews>
    <sheetView workbookViewId="0">
      <selection activeCell="C2" sqref="C2:C13"/>
    </sheetView>
  </sheetViews>
  <sheetFormatPr defaultRowHeight="16.5" x14ac:dyDescent="0.3"/>
  <cols>
    <col min="1" max="2" width="5.25" bestFit="1" customWidth="1"/>
    <col min="3" max="3" width="16" bestFit="1" customWidth="1"/>
    <col min="4" max="4" width="9" bestFit="1" customWidth="1"/>
  </cols>
  <sheetData>
    <row r="1" spans="1:4" x14ac:dyDescent="0.3">
      <c r="A1" s="2" t="s">
        <v>0</v>
      </c>
      <c r="B1" s="2" t="s">
        <v>158</v>
      </c>
      <c r="C1" s="2" t="s">
        <v>159</v>
      </c>
      <c r="D1" s="2" t="s">
        <v>917</v>
      </c>
    </row>
    <row r="2" spans="1:4" x14ac:dyDescent="0.3">
      <c r="A2" s="2">
        <v>1</v>
      </c>
      <c r="B2" s="2" t="s">
        <v>160</v>
      </c>
      <c r="C2" s="2" t="s">
        <v>161</v>
      </c>
      <c r="D2" s="2">
        <f t="array" ref="D2">SUM((LEFT(상품!A:A,1)=표2[[#This Row],[코드]])*(상품!F:F=FALSE))</f>
        <v>16</v>
      </c>
    </row>
    <row r="3" spans="1:4" x14ac:dyDescent="0.3">
      <c r="A3" s="2">
        <v>2</v>
      </c>
      <c r="B3" s="2" t="s">
        <v>162</v>
      </c>
      <c r="C3" s="2" t="s">
        <v>163</v>
      </c>
      <c r="D3" s="2">
        <f t="array" ref="D3">SUM((LEFT(상품!A:A,1)=표2[[#This Row],[코드]])*(상품!F:F=FALSE))</f>
        <v>17</v>
      </c>
    </row>
    <row r="4" spans="1:4" x14ac:dyDescent="0.3">
      <c r="A4" s="2">
        <v>3</v>
      </c>
      <c r="B4" s="2" t="s">
        <v>164</v>
      </c>
      <c r="C4" s="2" t="s">
        <v>165</v>
      </c>
      <c r="D4" s="2">
        <f t="array" ref="D4">SUM((LEFT(상품!A:A,1)=표2[[#This Row],[코드]])*(상품!F:F=FALSE))</f>
        <v>16</v>
      </c>
    </row>
    <row r="5" spans="1:4" x14ac:dyDescent="0.3">
      <c r="A5" s="2">
        <v>4</v>
      </c>
      <c r="B5" s="2" t="s">
        <v>166</v>
      </c>
      <c r="C5" s="2" t="s">
        <v>167</v>
      </c>
      <c r="D5" s="2">
        <f t="array" ref="D5">SUM((LEFT(상품!A:A,1)=표2[[#This Row],[코드]])*(상품!F:F=FALSE))</f>
        <v>16</v>
      </c>
    </row>
    <row r="6" spans="1:4" x14ac:dyDescent="0.3">
      <c r="A6" s="2">
        <v>5</v>
      </c>
      <c r="B6" s="2" t="s">
        <v>168</v>
      </c>
      <c r="C6" s="2" t="s">
        <v>169</v>
      </c>
      <c r="D6" s="2">
        <f t="array" ref="D6">SUM((LEFT(상품!A:A,1)=표2[[#This Row],[코드]])*(상품!F:F=FALSE))</f>
        <v>17</v>
      </c>
    </row>
    <row r="7" spans="1:4" x14ac:dyDescent="0.3">
      <c r="A7" s="2">
        <v>6</v>
      </c>
      <c r="B7" s="2" t="s">
        <v>170</v>
      </c>
      <c r="C7" s="2" t="s">
        <v>171</v>
      </c>
      <c r="D7" s="2">
        <f t="array" ref="D7">SUM((LEFT(상품!A:A,1)=표2[[#This Row],[코드]])*(상품!F:F=FALSE))</f>
        <v>16</v>
      </c>
    </row>
    <row r="8" spans="1:4" x14ac:dyDescent="0.3">
      <c r="A8" s="2">
        <v>7</v>
      </c>
      <c r="B8" s="2" t="s">
        <v>172</v>
      </c>
      <c r="C8" s="2" t="s">
        <v>173</v>
      </c>
      <c r="D8" s="2">
        <f t="array" ref="D8">SUM((LEFT(상품!A:A,1)=표2[[#This Row],[코드]])*(상품!F:F=FALSE))</f>
        <v>16</v>
      </c>
    </row>
    <row r="9" spans="1:4" x14ac:dyDescent="0.3">
      <c r="A9" s="2">
        <v>8</v>
      </c>
      <c r="B9" s="2" t="s">
        <v>174</v>
      </c>
      <c r="C9" s="2" t="s">
        <v>175</v>
      </c>
      <c r="D9" s="2">
        <f t="array" ref="D9">SUM((LEFT(상품!A:A,1)=표2[[#This Row],[코드]])*(상품!F:F=FALSE))</f>
        <v>17</v>
      </c>
    </row>
    <row r="10" spans="1:4" x14ac:dyDescent="0.3">
      <c r="A10" s="2">
        <v>9</v>
      </c>
      <c r="B10" s="2" t="s">
        <v>176</v>
      </c>
      <c r="C10" s="2" t="s">
        <v>177</v>
      </c>
      <c r="D10" s="2">
        <f t="array" ref="D10">SUM((LEFT(상품!A:A,1)=표2[[#This Row],[코드]])*(상품!F:F=FALSE))</f>
        <v>16</v>
      </c>
    </row>
    <row r="11" spans="1:4" x14ac:dyDescent="0.3">
      <c r="A11" s="2">
        <v>10</v>
      </c>
      <c r="B11" s="2" t="s">
        <v>178</v>
      </c>
      <c r="C11" s="2" t="s">
        <v>179</v>
      </c>
      <c r="D11" s="2">
        <f t="array" ref="D11">SUM((LEFT(상품!A:A,1)=표2[[#This Row],[코드]])*(상품!F:F=FALSE))</f>
        <v>16</v>
      </c>
    </row>
    <row r="12" spans="1:4" x14ac:dyDescent="0.3">
      <c r="A12" s="2">
        <v>11</v>
      </c>
      <c r="B12" s="2" t="s">
        <v>180</v>
      </c>
      <c r="C12" s="2" t="s">
        <v>181</v>
      </c>
      <c r="D12" s="2">
        <f t="array" ref="D12">SUM((LEFT(상품!A:A,1)=표2[[#This Row],[코드]])*(상품!F:F=FALSE))</f>
        <v>15</v>
      </c>
    </row>
    <row r="13" spans="1:4" x14ac:dyDescent="0.3">
      <c r="A13" s="2">
        <v>12</v>
      </c>
      <c r="B13" s="2" t="s">
        <v>182</v>
      </c>
      <c r="C13" s="2" t="s">
        <v>183</v>
      </c>
      <c r="D13" s="2">
        <f t="array" ref="D13">SUM((LEFT(상품!A:A,1)=표2[[#This Row],[코드]])*(상품!F:F=FALSE))</f>
        <v>17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4</xdr:col>
                <xdr:colOff>95250</xdr:colOff>
                <xdr:row>0</xdr:row>
                <xdr:rowOff>38100</xdr:rowOff>
              </from>
              <to>
                <xdr:col>6</xdr:col>
                <xdr:colOff>47625</xdr:colOff>
                <xdr:row>2</xdr:row>
                <xdr:rowOff>19050</xdr:rowOff>
              </to>
            </anchor>
          </controlPr>
        </control>
      </mc:Choice>
      <mc:Fallback>
        <control shapeId="3073" r:id="rId3" name="CommandButton1"/>
      </mc:Fallback>
    </mc:AlternateContent>
  </controls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241"/>
  <sheetViews>
    <sheetView zoomScale="115" zoomScaleNormal="115" workbookViewId="0">
      <selection activeCell="B2" sqref="B2"/>
    </sheetView>
  </sheetViews>
  <sheetFormatPr defaultRowHeight="16.5" x14ac:dyDescent="0.3"/>
  <cols>
    <col min="1" max="1" width="6" style="2" bestFit="1" customWidth="1"/>
    <col min="2" max="2" width="24.125" style="2" bestFit="1" customWidth="1"/>
    <col min="3" max="3" width="9" style="2" bestFit="1" customWidth="1"/>
    <col min="4" max="4" width="61.625" style="2" bestFit="1" customWidth="1"/>
    <col min="5" max="5" width="7.5" style="2" bestFit="1" customWidth="1"/>
  </cols>
  <sheetData>
    <row r="1" spans="1:12" x14ac:dyDescent="0.3">
      <c r="A1" s="6" t="s">
        <v>0</v>
      </c>
      <c r="B1" s="6" t="s">
        <v>228</v>
      </c>
      <c r="C1" s="6" t="s">
        <v>184</v>
      </c>
      <c r="D1" s="6" t="s">
        <v>229</v>
      </c>
      <c r="E1" s="7" t="s">
        <v>230</v>
      </c>
      <c r="F1" s="13" t="str">
        <f>VLOOKUP(B2,상품!A2:J1048576,2)</f>
        <v>머리보호대 판매</v>
      </c>
      <c r="G1" s="13" t="s">
        <v>926</v>
      </c>
      <c r="H1" s="13" t="s">
        <v>942</v>
      </c>
      <c r="I1" s="13" t="s">
        <v>945</v>
      </c>
      <c r="J1" s="13" t="s">
        <v>946</v>
      </c>
    </row>
    <row r="2" spans="1:12" x14ac:dyDescent="0.3">
      <c r="A2" s="8" t="s">
        <v>231</v>
      </c>
      <c r="B2" s="8" t="s">
        <v>232</v>
      </c>
      <c r="C2" s="8">
        <v>21</v>
      </c>
      <c r="D2" s="8" t="s">
        <v>233</v>
      </c>
      <c r="E2" s="9">
        <v>10000</v>
      </c>
      <c r="F2" t="b">
        <f>COUNTIF(표5[상품번호],상품!A2) &gt;0</f>
        <v>1</v>
      </c>
      <c r="G2">
        <f>COUNTIF(표4[상품번호],상품!A2)</f>
        <v>0</v>
      </c>
      <c r="H2">
        <f>INDEX(표2[번호],MATCH(LEFT(A2,1),표2[코드],0))</f>
        <v>1</v>
      </c>
      <c r="I2" t="str">
        <f>VLOOKUP(C2,표1[],6,FALSE)</f>
        <v>성산구</v>
      </c>
      <c r="J2" t="str">
        <f>VLOOKUP(C2,표1[],7,FALSE)</f>
        <v>웅남동</v>
      </c>
      <c r="L2">
        <f t="array" ref="L2">SUM(IF(LEFT(A:A,1) = "B",1,0))</f>
        <v>20</v>
      </c>
    </row>
    <row r="3" spans="1:12" x14ac:dyDescent="0.3">
      <c r="A3" s="8" t="s">
        <v>234</v>
      </c>
      <c r="B3" s="8" t="s">
        <v>235</v>
      </c>
      <c r="C3" s="8">
        <v>12</v>
      </c>
      <c r="D3" s="8" t="s">
        <v>236</v>
      </c>
      <c r="E3" s="9">
        <v>10000</v>
      </c>
      <c r="F3" t="b">
        <f>COUNTIF(표5[상품번호],상품!A3) &gt;0</f>
        <v>1</v>
      </c>
      <c r="G3">
        <f>COUNTIF(표4[상품번호],상품!A3)</f>
        <v>0</v>
      </c>
      <c r="H3">
        <f>INDEX(표2[번호],MATCH(LEFT(A3,1),표2[코드],0))</f>
        <v>1</v>
      </c>
      <c r="I3" t="str">
        <f>VLOOKUP(C3,표1[],6,FALSE)</f>
        <v>진해구</v>
      </c>
      <c r="J3" t="str">
        <f>VLOOKUP(C3,표1[],7,FALSE)</f>
        <v>자은동</v>
      </c>
    </row>
    <row r="4" spans="1:12" x14ac:dyDescent="0.3">
      <c r="A4" s="8" t="s">
        <v>206</v>
      </c>
      <c r="B4" s="8" t="s">
        <v>237</v>
      </c>
      <c r="C4" s="8">
        <v>14</v>
      </c>
      <c r="D4" s="8" t="s">
        <v>238</v>
      </c>
      <c r="E4" s="9">
        <v>9000</v>
      </c>
      <c r="F4" t="b">
        <f>COUNTIF(표5[상품번호],상품!A4) &gt;0</f>
        <v>1</v>
      </c>
      <c r="G4">
        <f>COUNTIF(표4[상품번호],상품!A4)</f>
        <v>3</v>
      </c>
      <c r="H4">
        <f>INDEX(표2[번호],MATCH(LEFT(A4,1),표2[코드],0))</f>
        <v>1</v>
      </c>
      <c r="I4" t="str">
        <f>VLOOKUP(C4,표1[],6,FALSE)</f>
        <v>성산구</v>
      </c>
      <c r="J4" t="str">
        <f>VLOOKUP(C4,표1[],7,FALSE)</f>
        <v>가음정동</v>
      </c>
    </row>
    <row r="5" spans="1:12" x14ac:dyDescent="0.3">
      <c r="A5" s="8" t="s">
        <v>239</v>
      </c>
      <c r="B5" s="8" t="s">
        <v>240</v>
      </c>
      <c r="C5" s="8">
        <v>18</v>
      </c>
      <c r="D5" s="8" t="s">
        <v>241</v>
      </c>
      <c r="E5" s="9">
        <v>5000</v>
      </c>
      <c r="F5" t="b">
        <f>COUNTIF(표5[상품번호],상품!A5) &gt;0</f>
        <v>0</v>
      </c>
      <c r="G5">
        <f>COUNTIF(표4[상품번호],상품!A5)</f>
        <v>0</v>
      </c>
      <c r="H5">
        <f>INDEX(표2[번호],MATCH(LEFT(A5,1),표2[코드],0))</f>
        <v>1</v>
      </c>
      <c r="I5" t="str">
        <f>VLOOKUP(C5,표1[],6,FALSE)</f>
        <v>의창구</v>
      </c>
      <c r="J5" t="str">
        <f>VLOOKUP(C5,표1[],7,FALSE)</f>
        <v>봉림동</v>
      </c>
    </row>
    <row r="6" spans="1:12" x14ac:dyDescent="0.3">
      <c r="A6" s="8" t="s">
        <v>202</v>
      </c>
      <c r="B6" s="8" t="s">
        <v>242</v>
      </c>
      <c r="C6" s="8">
        <v>3</v>
      </c>
      <c r="D6" s="8" t="s">
        <v>243</v>
      </c>
      <c r="E6" s="9">
        <v>21000</v>
      </c>
      <c r="F6" t="b">
        <f>COUNTIF(표5[상품번호],상품!A6) &gt;0</f>
        <v>0</v>
      </c>
      <c r="G6">
        <f>COUNTIF(표4[상품번호],상품!A6)</f>
        <v>1</v>
      </c>
      <c r="H6">
        <f>INDEX(표2[번호],MATCH(LEFT(A6,1),표2[코드],0))</f>
        <v>1</v>
      </c>
      <c r="I6" t="str">
        <f>VLOOKUP(C6,표1[],6,FALSE)</f>
        <v>마산회원구</v>
      </c>
      <c r="J6" t="str">
        <f>VLOOKUP(C6,표1[],7,FALSE)</f>
        <v>석전동</v>
      </c>
    </row>
    <row r="7" spans="1:12" x14ac:dyDescent="0.3">
      <c r="A7" s="8" t="s">
        <v>244</v>
      </c>
      <c r="B7" s="8" t="s">
        <v>245</v>
      </c>
      <c r="C7" s="8">
        <v>10</v>
      </c>
      <c r="D7" s="8" t="s">
        <v>246</v>
      </c>
      <c r="E7" s="9">
        <v>10000</v>
      </c>
      <c r="F7" t="b">
        <f>COUNTIF(표5[상품번호],상품!A7) &gt;0</f>
        <v>0</v>
      </c>
      <c r="G7">
        <f>COUNTIF(표4[상품번호],상품!A7)</f>
        <v>0</v>
      </c>
      <c r="H7">
        <f>INDEX(표2[번호],MATCH(LEFT(A7,1),표2[코드],0))</f>
        <v>1</v>
      </c>
      <c r="I7" t="str">
        <f>VLOOKUP(C7,표1[],6,FALSE)</f>
        <v>성산구</v>
      </c>
      <c r="J7" t="str">
        <f>VLOOKUP(C7,표1[],7,FALSE)</f>
        <v>사파동</v>
      </c>
    </row>
    <row r="8" spans="1:12" x14ac:dyDescent="0.3">
      <c r="A8" s="8" t="s">
        <v>219</v>
      </c>
      <c r="B8" s="8" t="s">
        <v>247</v>
      </c>
      <c r="C8" s="8">
        <v>8</v>
      </c>
      <c r="D8" s="8" t="s">
        <v>248</v>
      </c>
      <c r="E8" s="9">
        <v>12000</v>
      </c>
      <c r="F8" t="b">
        <f>COUNTIF(표5[상품번호],상품!A8) &gt;0</f>
        <v>0</v>
      </c>
      <c r="G8">
        <f>COUNTIF(표4[상품번호],상품!A8)</f>
        <v>2</v>
      </c>
      <c r="H8">
        <f>INDEX(표2[번호],MATCH(LEFT(A8,1),표2[코드],0))</f>
        <v>1</v>
      </c>
      <c r="I8" t="str">
        <f>VLOOKUP(C8,표1[],6,FALSE)</f>
        <v>마산회원구</v>
      </c>
      <c r="J8" t="str">
        <f>VLOOKUP(C8,표1[],7,FALSE)</f>
        <v>회성동</v>
      </c>
    </row>
    <row r="9" spans="1:12" x14ac:dyDescent="0.3">
      <c r="A9" s="8" t="s">
        <v>249</v>
      </c>
      <c r="B9" s="8" t="s">
        <v>250</v>
      </c>
      <c r="C9" s="8">
        <v>5</v>
      </c>
      <c r="D9" s="8" t="s">
        <v>251</v>
      </c>
      <c r="E9" s="9">
        <v>10000</v>
      </c>
      <c r="F9" t="b">
        <f>COUNTIF(표5[상품번호],상품!A9) &gt;0</f>
        <v>0</v>
      </c>
      <c r="G9">
        <f>COUNTIF(표4[상품번호],상품!A9)</f>
        <v>0</v>
      </c>
      <c r="H9">
        <f>INDEX(표2[번호],MATCH(LEFT(A9,1),표2[코드],0))</f>
        <v>1</v>
      </c>
      <c r="I9" t="str">
        <f>VLOOKUP(C9,표1[],6,FALSE)</f>
        <v>의창구</v>
      </c>
      <c r="J9" t="str">
        <f>VLOOKUP(C9,표1[],7,FALSE)</f>
        <v>의창동</v>
      </c>
    </row>
    <row r="10" spans="1:12" x14ac:dyDescent="0.3">
      <c r="A10" s="8" t="s">
        <v>252</v>
      </c>
      <c r="B10" s="8" t="s">
        <v>253</v>
      </c>
      <c r="C10" s="8">
        <v>16</v>
      </c>
      <c r="D10" s="8" t="s">
        <v>254</v>
      </c>
      <c r="E10" s="9">
        <v>12000</v>
      </c>
      <c r="F10" t="b">
        <f>COUNTIF(표5[상품번호],상품!A10) &gt;0</f>
        <v>0</v>
      </c>
      <c r="G10">
        <f>COUNTIF(표4[상품번호],상품!A10)</f>
        <v>0</v>
      </c>
      <c r="H10">
        <f>INDEX(표2[번호],MATCH(LEFT(A10,1),표2[코드],0))</f>
        <v>1</v>
      </c>
      <c r="I10" t="str">
        <f>VLOOKUP(C10,표1[],6,FALSE)</f>
        <v>마산합포구</v>
      </c>
      <c r="J10" t="str">
        <f>VLOOKUP(C10,표1[],7,FALSE)</f>
        <v>교방동</v>
      </c>
    </row>
    <row r="11" spans="1:12" x14ac:dyDescent="0.3">
      <c r="A11" s="8" t="s">
        <v>255</v>
      </c>
      <c r="B11" s="8" t="s">
        <v>256</v>
      </c>
      <c r="C11" s="8">
        <v>25</v>
      </c>
      <c r="D11" s="8" t="s">
        <v>257</v>
      </c>
      <c r="E11" s="9">
        <v>9000</v>
      </c>
      <c r="F11" t="b">
        <f>COUNTIF(표5[상품번호],상품!A11) &gt;0</f>
        <v>0</v>
      </c>
      <c r="G11">
        <f>COUNTIF(표4[상품번호],상품!A11)</f>
        <v>0</v>
      </c>
      <c r="H11">
        <f>INDEX(표2[번호],MATCH(LEFT(A11,1),표2[코드],0))</f>
        <v>1</v>
      </c>
      <c r="I11" t="str">
        <f>VLOOKUP(C11,표1[],6,FALSE)</f>
        <v>마산회원구</v>
      </c>
      <c r="J11" t="str">
        <f>VLOOKUP(C11,표1[],7,FALSE)</f>
        <v>양덕2동</v>
      </c>
    </row>
    <row r="12" spans="1:12" x14ac:dyDescent="0.3">
      <c r="A12" s="8" t="s">
        <v>258</v>
      </c>
      <c r="B12" s="8" t="s">
        <v>259</v>
      </c>
      <c r="C12" s="8">
        <v>23</v>
      </c>
      <c r="D12" s="8" t="s">
        <v>236</v>
      </c>
      <c r="E12" s="9">
        <v>6000</v>
      </c>
      <c r="F12" t="b">
        <f>COUNTIF(표5[상품번호],상품!A12) &gt;0</f>
        <v>1</v>
      </c>
      <c r="G12">
        <f>COUNTIF(표4[상품번호],상품!A12)</f>
        <v>0</v>
      </c>
      <c r="H12">
        <f>INDEX(표2[번호],MATCH(LEFT(A12,1),표2[코드],0))</f>
        <v>1</v>
      </c>
      <c r="I12" t="str">
        <f>VLOOKUP(C12,표1[],6,FALSE)</f>
        <v>진해구</v>
      </c>
      <c r="J12" t="str">
        <f>VLOOKUP(C12,표1[],7,FALSE)</f>
        <v>태평동</v>
      </c>
    </row>
    <row r="13" spans="1:12" x14ac:dyDescent="0.3">
      <c r="A13" s="8" t="s">
        <v>260</v>
      </c>
      <c r="B13" s="8" t="s">
        <v>261</v>
      </c>
      <c r="C13" s="8">
        <v>13</v>
      </c>
      <c r="D13" s="8" t="s">
        <v>262</v>
      </c>
      <c r="E13" s="9">
        <v>4000</v>
      </c>
      <c r="F13" t="b">
        <f>COUNTIF(표5[상품번호],상품!A13) &gt;0</f>
        <v>0</v>
      </c>
      <c r="G13">
        <f>COUNTIF(표4[상품번호],상품!A13)</f>
        <v>0</v>
      </c>
      <c r="H13">
        <f>INDEX(표2[번호],MATCH(LEFT(A13,1),표2[코드],0))</f>
        <v>1</v>
      </c>
      <c r="I13" t="str">
        <f>VLOOKUP(C13,표1[],6,FALSE)</f>
        <v>마산회원구</v>
      </c>
      <c r="J13" t="str">
        <f>VLOOKUP(C13,표1[],7,FALSE)</f>
        <v>봉암동</v>
      </c>
    </row>
    <row r="14" spans="1:12" x14ac:dyDescent="0.3">
      <c r="A14" s="8" t="s">
        <v>263</v>
      </c>
      <c r="B14" s="8" t="s">
        <v>264</v>
      </c>
      <c r="C14" s="8">
        <v>17</v>
      </c>
      <c r="D14" s="8" t="s">
        <v>265</v>
      </c>
      <c r="E14" s="9">
        <v>5000</v>
      </c>
      <c r="F14" t="b">
        <f>COUNTIF(표5[상품번호],상품!A14) &gt;0</f>
        <v>0</v>
      </c>
      <c r="G14">
        <f>COUNTIF(표4[상품번호],상품!A14)</f>
        <v>0</v>
      </c>
      <c r="H14">
        <f>INDEX(표2[번호],MATCH(LEFT(A14,1),표2[코드],0))</f>
        <v>1</v>
      </c>
      <c r="I14" t="str">
        <f>VLOOKUP(C14,표1[],6,FALSE)</f>
        <v>진해구</v>
      </c>
      <c r="J14" t="str">
        <f>VLOOKUP(C14,표1[],7,FALSE)</f>
        <v>덕산동</v>
      </c>
    </row>
    <row r="15" spans="1:12" x14ac:dyDescent="0.3">
      <c r="A15" s="8" t="s">
        <v>266</v>
      </c>
      <c r="B15" s="8" t="s">
        <v>267</v>
      </c>
      <c r="C15" s="8">
        <v>19</v>
      </c>
      <c r="D15" s="8" t="s">
        <v>268</v>
      </c>
      <c r="E15" s="9">
        <v>7000</v>
      </c>
      <c r="F15" t="b">
        <f>COUNTIF(표5[상품번호],상품!A15) &gt;0</f>
        <v>0</v>
      </c>
      <c r="G15">
        <f>COUNTIF(표4[상품번호],상품!A15)</f>
        <v>0</v>
      </c>
      <c r="H15">
        <f>INDEX(표2[번호],MATCH(LEFT(A15,1),표2[코드],0))</f>
        <v>1</v>
      </c>
      <c r="I15" t="str">
        <f>VLOOKUP(C15,표1[],6,FALSE)</f>
        <v>마산회원구</v>
      </c>
      <c r="J15" t="str">
        <f>VLOOKUP(C15,표1[],7,FALSE)</f>
        <v>양덕1동</v>
      </c>
    </row>
    <row r="16" spans="1:12" x14ac:dyDescent="0.3">
      <c r="A16" s="8" t="s">
        <v>269</v>
      </c>
      <c r="B16" s="8" t="s">
        <v>270</v>
      </c>
      <c r="C16" s="8">
        <v>24</v>
      </c>
      <c r="D16" s="8" t="s">
        <v>271</v>
      </c>
      <c r="E16" s="9">
        <v>2000</v>
      </c>
      <c r="F16" t="b">
        <f>COUNTIF(표5[상품번호],상품!A16) &gt;0</f>
        <v>0</v>
      </c>
      <c r="G16">
        <f>COUNTIF(표4[상품번호],상품!A16)</f>
        <v>0</v>
      </c>
      <c r="H16">
        <f>INDEX(표2[번호],MATCH(LEFT(A16,1),표2[코드],0))</f>
        <v>1</v>
      </c>
      <c r="I16" t="str">
        <f>VLOOKUP(C16,표1[],6,FALSE)</f>
        <v>마산합포구</v>
      </c>
      <c r="J16" t="str">
        <f>VLOOKUP(C16,표1[],7,FALSE)</f>
        <v>합포동</v>
      </c>
    </row>
    <row r="17" spans="1:11" x14ac:dyDescent="0.3">
      <c r="A17" s="8" t="s">
        <v>272</v>
      </c>
      <c r="B17" s="8" t="s">
        <v>273</v>
      </c>
      <c r="C17" s="8">
        <v>1</v>
      </c>
      <c r="D17" s="8" t="s">
        <v>274</v>
      </c>
      <c r="E17" s="9">
        <v>1000</v>
      </c>
      <c r="F17" t="b">
        <f>COUNTIF(표5[상품번호],상품!A17) &gt;0</f>
        <v>0</v>
      </c>
      <c r="G17">
        <f>COUNTIF(표4[상품번호],상품!A17)</f>
        <v>0</v>
      </c>
      <c r="H17">
        <f>INDEX(표2[번호],MATCH(LEFT(A17,1),표2[코드],0))</f>
        <v>1</v>
      </c>
      <c r="I17" t="str">
        <f>VLOOKUP(C17,표1[],6,FALSE)</f>
        <v>성산구</v>
      </c>
      <c r="J17" t="str">
        <f>VLOOKUP(C17,표1[],7,FALSE)</f>
        <v>중앙동</v>
      </c>
      <c r="K17" t="s">
        <v>951</v>
      </c>
    </row>
    <row r="18" spans="1:11" x14ac:dyDescent="0.3">
      <c r="A18" s="8" t="s">
        <v>207</v>
      </c>
      <c r="B18" s="8" t="s">
        <v>275</v>
      </c>
      <c r="C18" s="8">
        <v>9</v>
      </c>
      <c r="D18" s="8" t="s">
        <v>276</v>
      </c>
      <c r="E18" s="9">
        <v>1000</v>
      </c>
      <c r="F18" t="b">
        <f>COUNTIF(표5[상품번호],상품!A18) &gt;0</f>
        <v>0</v>
      </c>
      <c r="G18">
        <f>COUNTIF(표4[상품번호],상품!A18)</f>
        <v>1</v>
      </c>
      <c r="H18">
        <f>INDEX(표2[번호],MATCH(LEFT(A18,1),표2[코드],0))</f>
        <v>1</v>
      </c>
      <c r="I18" t="str">
        <f>VLOOKUP(C18,표1[],6,FALSE)</f>
        <v>마산합포구</v>
      </c>
      <c r="J18" t="str">
        <f>VLOOKUP(C18,표1[],7,FALSE)</f>
        <v>월영동</v>
      </c>
    </row>
    <row r="19" spans="1:11" x14ac:dyDescent="0.3">
      <c r="A19" s="8" t="s">
        <v>277</v>
      </c>
      <c r="B19" s="8" t="s">
        <v>278</v>
      </c>
      <c r="C19" s="8">
        <v>11</v>
      </c>
      <c r="D19" s="8" t="s">
        <v>279</v>
      </c>
      <c r="E19" s="9">
        <v>30000</v>
      </c>
      <c r="F19" t="b">
        <f>COUNTIF(표5[상품번호],상품!A19) &gt;0</f>
        <v>0</v>
      </c>
      <c r="G19">
        <f>COUNTIF(표4[상품번호],상품!A19)</f>
        <v>0</v>
      </c>
      <c r="H19">
        <f>INDEX(표2[번호],MATCH(LEFT(A19,1),표2[코드],0))</f>
        <v>1</v>
      </c>
      <c r="I19" t="str">
        <f>VLOOKUP(C19,표1[],6,FALSE)</f>
        <v>의창구</v>
      </c>
      <c r="J19" t="str">
        <f>VLOOKUP(C19,표1[],7,FALSE)</f>
        <v>팔룡동</v>
      </c>
    </row>
    <row r="20" spans="1:11" x14ac:dyDescent="0.3">
      <c r="A20" s="8" t="s">
        <v>280</v>
      </c>
      <c r="B20" s="8" t="s">
        <v>281</v>
      </c>
      <c r="C20" s="8">
        <v>4</v>
      </c>
      <c r="D20" s="8" t="s">
        <v>282</v>
      </c>
      <c r="E20" s="9">
        <v>5000</v>
      </c>
      <c r="F20" t="b">
        <f>COUNTIF(표5[상품번호],상품!A20) &gt;0</f>
        <v>0</v>
      </c>
      <c r="G20">
        <f>COUNTIF(표4[상품번호],상품!A20)</f>
        <v>0</v>
      </c>
      <c r="H20">
        <f>INDEX(표2[번호],MATCH(LEFT(A20,1),표2[코드],0))</f>
        <v>1</v>
      </c>
      <c r="I20" t="str">
        <f>VLOOKUP(C20,표1[],6,FALSE)</f>
        <v>마산합포구</v>
      </c>
      <c r="J20" t="str">
        <f>VLOOKUP(C20,표1[],7,FALSE)</f>
        <v>현동</v>
      </c>
    </row>
    <row r="21" spans="1:11" x14ac:dyDescent="0.3">
      <c r="A21" s="8" t="s">
        <v>283</v>
      </c>
      <c r="B21" s="8" t="s">
        <v>284</v>
      </c>
      <c r="C21" s="8">
        <v>7</v>
      </c>
      <c r="D21" s="8" t="s">
        <v>285</v>
      </c>
      <c r="E21" s="9">
        <v>5000</v>
      </c>
      <c r="F21" t="b">
        <f>COUNTIF(표5[상품번호],상품!A21) &gt;0</f>
        <v>0</v>
      </c>
      <c r="G21">
        <f>COUNTIF(표4[상품번호],상품!A21)</f>
        <v>0</v>
      </c>
      <c r="H21">
        <f>INDEX(표2[번호],MATCH(LEFT(A21,1),표2[코드],0))</f>
        <v>1</v>
      </c>
      <c r="I21" t="str">
        <f>VLOOKUP(C21,표1[],6,FALSE)</f>
        <v>진해구</v>
      </c>
      <c r="J21" t="str">
        <f>VLOOKUP(C21,표1[],7,FALSE)</f>
        <v>경화동</v>
      </c>
    </row>
    <row r="22" spans="1:11" x14ac:dyDescent="0.3">
      <c r="A22" s="8" t="s">
        <v>187</v>
      </c>
      <c r="B22" s="8" t="s">
        <v>286</v>
      </c>
      <c r="C22" s="8">
        <v>1</v>
      </c>
      <c r="D22" s="8" t="s">
        <v>957</v>
      </c>
      <c r="E22" s="9">
        <v>250000</v>
      </c>
      <c r="F22" t="b">
        <f>COUNTIF(표5[상품번호],상품!A22) &gt;0</f>
        <v>0</v>
      </c>
      <c r="G22">
        <f>COUNTIF(표4[상품번호],상품!A22)</f>
        <v>1</v>
      </c>
      <c r="H22">
        <f>INDEX(표2[번호],MATCH(LEFT(A22,1),표2[코드],0))</f>
        <v>2</v>
      </c>
      <c r="I22" t="str">
        <f>VLOOKUP(C22,표1[],6,FALSE)</f>
        <v>성산구</v>
      </c>
      <c r="J22" t="str">
        <f>VLOOKUP(C22,표1[],7,FALSE)</f>
        <v>중앙동</v>
      </c>
    </row>
    <row r="23" spans="1:11" x14ac:dyDescent="0.3">
      <c r="A23" s="8" t="s">
        <v>186</v>
      </c>
      <c r="B23" s="8" t="s">
        <v>287</v>
      </c>
      <c r="C23" s="8">
        <v>9</v>
      </c>
      <c r="D23" s="8" t="s">
        <v>288</v>
      </c>
      <c r="E23" s="9">
        <v>100000</v>
      </c>
      <c r="F23" t="b">
        <f>COUNTIF(표5[상품번호],상품!A23) &gt;0</f>
        <v>0</v>
      </c>
      <c r="G23">
        <f>COUNTIF(표4[상품번호],상품!A23)</f>
        <v>1</v>
      </c>
      <c r="H23">
        <f>INDEX(표2[번호],MATCH(LEFT(A23,1),표2[코드],0))</f>
        <v>2</v>
      </c>
      <c r="I23" t="str">
        <f>VLOOKUP(C23,표1[],6,FALSE)</f>
        <v>마산합포구</v>
      </c>
      <c r="J23" t="str">
        <f>VLOOKUP(C23,표1[],7,FALSE)</f>
        <v>월영동</v>
      </c>
    </row>
    <row r="24" spans="1:11" x14ac:dyDescent="0.3">
      <c r="A24" s="8" t="s">
        <v>190</v>
      </c>
      <c r="B24" s="8" t="s">
        <v>289</v>
      </c>
      <c r="C24" s="8">
        <v>11</v>
      </c>
      <c r="D24" s="8" t="s">
        <v>290</v>
      </c>
      <c r="E24" s="9">
        <v>120000</v>
      </c>
      <c r="F24" t="b">
        <f>COUNTIF(표5[상품번호],상품!A24) &gt;0</f>
        <v>0</v>
      </c>
      <c r="G24">
        <f>COUNTIF(표4[상품번호],상품!A24)</f>
        <v>1</v>
      </c>
      <c r="H24">
        <f>INDEX(표2[번호],MATCH(LEFT(A24,1),표2[코드],0))</f>
        <v>2</v>
      </c>
      <c r="I24" t="str">
        <f>VLOOKUP(C24,표1[],6,FALSE)</f>
        <v>의창구</v>
      </c>
      <c r="J24" t="str">
        <f>VLOOKUP(C24,표1[],7,FALSE)</f>
        <v>팔룡동</v>
      </c>
    </row>
    <row r="25" spans="1:11" x14ac:dyDescent="0.3">
      <c r="A25" s="8" t="s">
        <v>291</v>
      </c>
      <c r="B25" s="8" t="s">
        <v>292</v>
      </c>
      <c r="C25" s="8">
        <v>4</v>
      </c>
      <c r="D25" s="8" t="s">
        <v>293</v>
      </c>
      <c r="E25" s="9">
        <v>110000</v>
      </c>
      <c r="F25" t="b">
        <f>COUNTIF(표5[상품번호],상품!A25) &gt;0</f>
        <v>0</v>
      </c>
      <c r="G25">
        <f>COUNTIF(표4[상품번호],상품!A25)</f>
        <v>0</v>
      </c>
      <c r="H25">
        <f>INDEX(표2[번호],MATCH(LEFT(A25,1),표2[코드],0))</f>
        <v>2</v>
      </c>
      <c r="I25" t="str">
        <f>VLOOKUP(C25,표1[],6,FALSE)</f>
        <v>마산합포구</v>
      </c>
      <c r="J25" t="str">
        <f>VLOOKUP(C25,표1[],7,FALSE)</f>
        <v>현동</v>
      </c>
    </row>
    <row r="26" spans="1:11" x14ac:dyDescent="0.3">
      <c r="A26" s="8" t="s">
        <v>191</v>
      </c>
      <c r="B26" s="8" t="s">
        <v>294</v>
      </c>
      <c r="C26" s="8">
        <v>7</v>
      </c>
      <c r="D26" s="8" t="s">
        <v>295</v>
      </c>
      <c r="E26" s="9">
        <v>90000</v>
      </c>
      <c r="F26" t="b">
        <f>COUNTIF(표5[상품번호],상품!A26) &gt;0</f>
        <v>1</v>
      </c>
      <c r="G26">
        <f>COUNTIF(표4[상품번호],상품!A26)</f>
        <v>2</v>
      </c>
      <c r="H26">
        <f>INDEX(표2[번호],MATCH(LEFT(A26,1),표2[코드],0))</f>
        <v>2</v>
      </c>
      <c r="I26" t="str">
        <f>VLOOKUP(C26,표1[],6,FALSE)</f>
        <v>진해구</v>
      </c>
      <c r="J26" t="str">
        <f>VLOOKUP(C26,표1[],7,FALSE)</f>
        <v>경화동</v>
      </c>
    </row>
    <row r="27" spans="1:11" x14ac:dyDescent="0.3">
      <c r="A27" s="8" t="s">
        <v>188</v>
      </c>
      <c r="B27" s="8" t="s">
        <v>296</v>
      </c>
      <c r="C27" s="8">
        <v>20</v>
      </c>
      <c r="D27" s="8" t="s">
        <v>297</v>
      </c>
      <c r="E27" s="9">
        <v>30000</v>
      </c>
      <c r="F27" t="b">
        <f>COUNTIF(표5[상품번호],상품!A27) &gt;0</f>
        <v>0</v>
      </c>
      <c r="G27">
        <f>COUNTIF(표4[상품번호],상품!A27)</f>
        <v>1</v>
      </c>
      <c r="H27">
        <f>INDEX(표2[번호],MATCH(LEFT(A27,1),표2[코드],0))</f>
        <v>2</v>
      </c>
      <c r="I27" t="str">
        <f>VLOOKUP(C27,표1[],6,FALSE)</f>
        <v>마산합포구</v>
      </c>
      <c r="J27" t="str">
        <f>VLOOKUP(C27,표1[],7,FALSE)</f>
        <v>간호동</v>
      </c>
    </row>
    <row r="28" spans="1:11" x14ac:dyDescent="0.3">
      <c r="A28" s="8" t="s">
        <v>298</v>
      </c>
      <c r="B28" s="8" t="s">
        <v>299</v>
      </c>
      <c r="C28" s="8">
        <v>15</v>
      </c>
      <c r="D28" s="8" t="s">
        <v>300</v>
      </c>
      <c r="E28" s="9">
        <v>50000</v>
      </c>
      <c r="F28" t="b">
        <f>COUNTIF(표5[상품번호],상품!A28) &gt;0</f>
        <v>0</v>
      </c>
      <c r="G28">
        <f>COUNTIF(표4[상품번호],상품!A28)</f>
        <v>0</v>
      </c>
      <c r="H28">
        <f>INDEX(표2[번호],MATCH(LEFT(A28,1),표2[코드],0))</f>
        <v>2</v>
      </c>
      <c r="I28" t="str">
        <f>VLOOKUP(C28,표1[],6,FALSE)</f>
        <v>의창구</v>
      </c>
      <c r="J28" t="str">
        <f>VLOOKUP(C28,표1[],7,FALSE)</f>
        <v>명곡동</v>
      </c>
    </row>
    <row r="29" spans="1:11" x14ac:dyDescent="0.3">
      <c r="A29" s="8" t="s">
        <v>301</v>
      </c>
      <c r="B29" s="8" t="s">
        <v>302</v>
      </c>
      <c r="C29" s="8">
        <v>6</v>
      </c>
      <c r="D29" s="8" t="s">
        <v>303</v>
      </c>
      <c r="E29" s="9">
        <v>25000</v>
      </c>
      <c r="F29" t="b">
        <f>COUNTIF(표5[상품번호],상품!A29) &gt;0</f>
        <v>0</v>
      </c>
      <c r="G29">
        <f>COUNTIF(표4[상품번호],상품!A29)</f>
        <v>0</v>
      </c>
      <c r="H29">
        <f>INDEX(표2[번호],MATCH(LEFT(A29,1),표2[코드],0))</f>
        <v>2</v>
      </c>
      <c r="I29" t="str">
        <f>VLOOKUP(C29,표1[],6,FALSE)</f>
        <v>성산구</v>
      </c>
      <c r="J29" t="str">
        <f>VLOOKUP(C29,표1[],7,FALSE)</f>
        <v>중앙동</v>
      </c>
    </row>
    <row r="30" spans="1:11" x14ac:dyDescent="0.3">
      <c r="A30" s="8" t="s">
        <v>304</v>
      </c>
      <c r="B30" s="8" t="s">
        <v>305</v>
      </c>
      <c r="C30" s="8">
        <v>2</v>
      </c>
      <c r="D30" s="8" t="s">
        <v>306</v>
      </c>
      <c r="E30" s="9">
        <v>150000</v>
      </c>
      <c r="F30" t="b">
        <f>COUNTIF(표5[상품번호],상품!A30) &gt;0</f>
        <v>0</v>
      </c>
      <c r="G30">
        <f>COUNTIF(표4[상품번호],상품!A30)</f>
        <v>0</v>
      </c>
      <c r="H30">
        <f>INDEX(표2[번호],MATCH(LEFT(A30,1),표2[코드],0))</f>
        <v>2</v>
      </c>
      <c r="I30" t="str">
        <f>VLOOKUP(C30,표1[],6,FALSE)</f>
        <v>진해구</v>
      </c>
      <c r="J30" t="str">
        <f>VLOOKUP(C30,표1[],7,FALSE)</f>
        <v>충무동</v>
      </c>
    </row>
    <row r="31" spans="1:11" x14ac:dyDescent="0.3">
      <c r="A31" s="8" t="s">
        <v>307</v>
      </c>
      <c r="B31" s="8" t="s">
        <v>308</v>
      </c>
      <c r="C31" s="8">
        <v>22</v>
      </c>
      <c r="D31" s="8" t="s">
        <v>309</v>
      </c>
      <c r="E31" s="9">
        <v>10000</v>
      </c>
      <c r="F31" t="b">
        <f>COUNTIF(표5[상품번호],상품!A31) &gt;0</f>
        <v>1</v>
      </c>
      <c r="G31">
        <f>COUNTIF(표4[상품번호],상품!A31)</f>
        <v>0</v>
      </c>
      <c r="H31">
        <f>INDEX(표2[번호],MATCH(LEFT(A31,1),표2[코드],0))</f>
        <v>2</v>
      </c>
      <c r="I31" t="str">
        <f>VLOOKUP(C31,표1[],6,FALSE)</f>
        <v>의창구</v>
      </c>
      <c r="J31" t="str">
        <f>VLOOKUP(C31,표1[],7,FALSE)</f>
        <v>용지동</v>
      </c>
    </row>
    <row r="32" spans="1:11" x14ac:dyDescent="0.3">
      <c r="A32" s="8" t="s">
        <v>310</v>
      </c>
      <c r="B32" s="8" t="s">
        <v>311</v>
      </c>
      <c r="C32" s="8">
        <v>21</v>
      </c>
      <c r="D32" s="8" t="s">
        <v>312</v>
      </c>
      <c r="E32" s="9">
        <v>2000</v>
      </c>
      <c r="F32" t="b">
        <f>COUNTIF(표5[상품번호],상품!A32) &gt;0</f>
        <v>1</v>
      </c>
      <c r="G32">
        <f>COUNTIF(표4[상품번호],상품!A32)</f>
        <v>0</v>
      </c>
      <c r="H32">
        <f>INDEX(표2[번호],MATCH(LEFT(A32,1),표2[코드],0))</f>
        <v>2</v>
      </c>
      <c r="I32" t="str">
        <f>VLOOKUP(C32,표1[],6,FALSE)</f>
        <v>성산구</v>
      </c>
      <c r="J32" t="str">
        <f>VLOOKUP(C32,표1[],7,FALSE)</f>
        <v>웅남동</v>
      </c>
    </row>
    <row r="33" spans="1:10" x14ac:dyDescent="0.3">
      <c r="A33" s="8" t="s">
        <v>313</v>
      </c>
      <c r="B33" s="8" t="s">
        <v>314</v>
      </c>
      <c r="C33" s="8">
        <v>12</v>
      </c>
      <c r="D33" s="8" t="s">
        <v>315</v>
      </c>
      <c r="E33" s="9">
        <v>20000</v>
      </c>
      <c r="F33" t="b">
        <f>COUNTIF(표5[상품번호],상품!A33) &gt;0</f>
        <v>0</v>
      </c>
      <c r="G33">
        <f>COUNTIF(표4[상품번호],상품!A33)</f>
        <v>0</v>
      </c>
      <c r="H33">
        <f>INDEX(표2[번호],MATCH(LEFT(A33,1),표2[코드],0))</f>
        <v>2</v>
      </c>
      <c r="I33" t="str">
        <f>VLOOKUP(C33,표1[],6,FALSE)</f>
        <v>진해구</v>
      </c>
      <c r="J33" t="str">
        <f>VLOOKUP(C33,표1[],7,FALSE)</f>
        <v>자은동</v>
      </c>
    </row>
    <row r="34" spans="1:10" x14ac:dyDescent="0.3">
      <c r="A34" s="8" t="s">
        <v>316</v>
      </c>
      <c r="B34" s="8" t="s">
        <v>317</v>
      </c>
      <c r="C34" s="8">
        <v>14</v>
      </c>
      <c r="D34" s="8" t="s">
        <v>318</v>
      </c>
      <c r="E34" s="9">
        <v>14000</v>
      </c>
      <c r="F34" t="b">
        <f>COUNTIF(표5[상품번호],상품!A34) &gt;0</f>
        <v>0</v>
      </c>
      <c r="G34">
        <f>COUNTIF(표4[상품번호],상품!A34)</f>
        <v>0</v>
      </c>
      <c r="H34">
        <f>INDEX(표2[번호],MATCH(LEFT(A34,1),표2[코드],0))</f>
        <v>2</v>
      </c>
      <c r="I34" t="str">
        <f>VLOOKUP(C34,표1[],6,FALSE)</f>
        <v>성산구</v>
      </c>
      <c r="J34" t="str">
        <f>VLOOKUP(C34,표1[],7,FALSE)</f>
        <v>가음정동</v>
      </c>
    </row>
    <row r="35" spans="1:10" x14ac:dyDescent="0.3">
      <c r="A35" s="8" t="s">
        <v>319</v>
      </c>
      <c r="B35" s="8" t="s">
        <v>320</v>
      </c>
      <c r="C35" s="8">
        <v>18</v>
      </c>
      <c r="D35" s="8" t="s">
        <v>321</v>
      </c>
      <c r="E35" s="9">
        <v>9000</v>
      </c>
      <c r="F35" t="b">
        <f>COUNTIF(표5[상품번호],상품!A35) &gt;0</f>
        <v>0</v>
      </c>
      <c r="G35">
        <f>COUNTIF(표4[상품번호],상품!A35)</f>
        <v>0</v>
      </c>
      <c r="H35">
        <f>INDEX(표2[번호],MATCH(LEFT(A35,1),표2[코드],0))</f>
        <v>2</v>
      </c>
      <c r="I35" t="str">
        <f>VLOOKUP(C35,표1[],6,FALSE)</f>
        <v>의창구</v>
      </c>
      <c r="J35" t="str">
        <f>VLOOKUP(C35,표1[],7,FALSE)</f>
        <v>봉림동</v>
      </c>
    </row>
    <row r="36" spans="1:10" x14ac:dyDescent="0.3">
      <c r="A36" s="8" t="s">
        <v>322</v>
      </c>
      <c r="B36" s="8" t="s">
        <v>323</v>
      </c>
      <c r="C36" s="8">
        <v>3</v>
      </c>
      <c r="D36" s="8" t="s">
        <v>324</v>
      </c>
      <c r="E36" s="9">
        <v>10000</v>
      </c>
      <c r="F36" t="b">
        <f>COUNTIF(표5[상품번호],상품!A36) &gt;0</f>
        <v>0</v>
      </c>
      <c r="G36">
        <f>COUNTIF(표4[상품번호],상품!A36)</f>
        <v>0</v>
      </c>
      <c r="H36">
        <f>INDEX(표2[번호],MATCH(LEFT(A36,1),표2[코드],0))</f>
        <v>2</v>
      </c>
      <c r="I36" t="str">
        <f>VLOOKUP(C36,표1[],6,FALSE)</f>
        <v>마산회원구</v>
      </c>
      <c r="J36" t="str">
        <f>VLOOKUP(C36,표1[],7,FALSE)</f>
        <v>석전동</v>
      </c>
    </row>
    <row r="37" spans="1:10" x14ac:dyDescent="0.3">
      <c r="A37" s="8" t="s">
        <v>325</v>
      </c>
      <c r="B37" s="8" t="s">
        <v>326</v>
      </c>
      <c r="C37" s="8">
        <v>10</v>
      </c>
      <c r="D37" s="8" t="s">
        <v>327</v>
      </c>
      <c r="E37" s="9">
        <v>14000</v>
      </c>
      <c r="F37" t="b">
        <f>COUNTIF(표5[상품번호],상품!A37) &gt;0</f>
        <v>0</v>
      </c>
      <c r="G37">
        <f>COUNTIF(표4[상품번호],상품!A37)</f>
        <v>0</v>
      </c>
      <c r="H37">
        <f>INDEX(표2[번호],MATCH(LEFT(A37,1),표2[코드],0))</f>
        <v>2</v>
      </c>
      <c r="I37" t="str">
        <f>VLOOKUP(C37,표1[],6,FALSE)</f>
        <v>성산구</v>
      </c>
      <c r="J37" t="str">
        <f>VLOOKUP(C37,표1[],7,FALSE)</f>
        <v>사파동</v>
      </c>
    </row>
    <row r="38" spans="1:10" x14ac:dyDescent="0.3">
      <c r="A38" s="8" t="s">
        <v>328</v>
      </c>
      <c r="B38" s="8" t="s">
        <v>329</v>
      </c>
      <c r="C38" s="8">
        <v>8</v>
      </c>
      <c r="D38" s="8" t="s">
        <v>330</v>
      </c>
      <c r="E38" s="9">
        <v>20000</v>
      </c>
      <c r="F38" t="b">
        <f>COUNTIF(표5[상품번호],상품!A38) &gt;0</f>
        <v>0</v>
      </c>
      <c r="G38">
        <f>COUNTIF(표4[상품번호],상품!A38)</f>
        <v>0</v>
      </c>
      <c r="H38">
        <f>INDEX(표2[번호],MATCH(LEFT(A38,1),표2[코드],0))</f>
        <v>2</v>
      </c>
      <c r="I38" t="str">
        <f>VLOOKUP(C38,표1[],6,FALSE)</f>
        <v>마산회원구</v>
      </c>
      <c r="J38" t="str">
        <f>VLOOKUP(C38,표1[],7,FALSE)</f>
        <v>회성동</v>
      </c>
    </row>
    <row r="39" spans="1:10" x14ac:dyDescent="0.3">
      <c r="A39" s="8" t="s">
        <v>331</v>
      </c>
      <c r="B39" s="8" t="s">
        <v>332</v>
      </c>
      <c r="C39" s="8">
        <v>5</v>
      </c>
      <c r="D39" s="8" t="s">
        <v>333</v>
      </c>
      <c r="E39" s="9">
        <v>30000</v>
      </c>
      <c r="F39" t="b">
        <f>COUNTIF(표5[상품번호],상품!A39) &gt;0</f>
        <v>0</v>
      </c>
      <c r="G39">
        <f>COUNTIF(표4[상품번호],상품!A39)</f>
        <v>0</v>
      </c>
      <c r="H39">
        <f>INDEX(표2[번호],MATCH(LEFT(A39,1),표2[코드],0))</f>
        <v>2</v>
      </c>
      <c r="I39" t="str">
        <f>VLOOKUP(C39,표1[],6,FALSE)</f>
        <v>의창구</v>
      </c>
      <c r="J39" t="str">
        <f>VLOOKUP(C39,표1[],7,FALSE)</f>
        <v>의창동</v>
      </c>
    </row>
    <row r="40" spans="1:10" x14ac:dyDescent="0.3">
      <c r="A40" s="8" t="s">
        <v>334</v>
      </c>
      <c r="B40" s="8" t="s">
        <v>335</v>
      </c>
      <c r="C40" s="8">
        <v>16</v>
      </c>
      <c r="D40" s="8" t="s">
        <v>336</v>
      </c>
      <c r="E40" s="9">
        <v>14000</v>
      </c>
      <c r="F40" t="b">
        <f>COUNTIF(표5[상품번호],상품!A40) &gt;0</f>
        <v>0</v>
      </c>
      <c r="G40">
        <f>COUNTIF(표4[상품번호],상품!A40)</f>
        <v>0</v>
      </c>
      <c r="H40">
        <f>INDEX(표2[번호],MATCH(LEFT(A40,1),표2[코드],0))</f>
        <v>2</v>
      </c>
      <c r="I40" t="str">
        <f>VLOOKUP(C40,표1[],6,FALSE)</f>
        <v>마산합포구</v>
      </c>
      <c r="J40" t="str">
        <f>VLOOKUP(C40,표1[],7,FALSE)</f>
        <v>교방동</v>
      </c>
    </row>
    <row r="41" spans="1:10" x14ac:dyDescent="0.3">
      <c r="A41" s="8" t="s">
        <v>337</v>
      </c>
      <c r="B41" s="8" t="s">
        <v>338</v>
      </c>
      <c r="C41" s="8">
        <v>25</v>
      </c>
      <c r="D41" s="8" t="s">
        <v>339</v>
      </c>
      <c r="E41" s="9">
        <v>17000</v>
      </c>
      <c r="F41" t="b">
        <f>COUNTIF(표5[상품번호],상품!A41) &gt;0</f>
        <v>0</v>
      </c>
      <c r="G41">
        <f>COUNTIF(표4[상품번호],상품!A41)</f>
        <v>0</v>
      </c>
      <c r="H41">
        <f>INDEX(표2[번호],MATCH(LEFT(A41,1),표2[코드],0))</f>
        <v>2</v>
      </c>
      <c r="I41" t="str">
        <f>VLOOKUP(C41,표1[],6,FALSE)</f>
        <v>마산회원구</v>
      </c>
      <c r="J41" t="str">
        <f>VLOOKUP(C41,표1[],7,FALSE)</f>
        <v>양덕2동</v>
      </c>
    </row>
    <row r="42" spans="1:10" x14ac:dyDescent="0.3">
      <c r="A42" s="8" t="s">
        <v>192</v>
      </c>
      <c r="B42" s="8" t="s">
        <v>340</v>
      </c>
      <c r="C42" s="8">
        <v>23</v>
      </c>
      <c r="D42" s="8" t="s">
        <v>341</v>
      </c>
      <c r="E42" s="9">
        <v>100000</v>
      </c>
      <c r="F42" t="b">
        <f>COUNTIF(표5[상품번호],상품!A42) &gt;0</f>
        <v>0</v>
      </c>
      <c r="G42">
        <f>COUNTIF(표4[상품번호],상품!A42)</f>
        <v>2</v>
      </c>
      <c r="H42">
        <f>INDEX(표2[번호],MATCH(LEFT(A42,1),표2[코드],0))</f>
        <v>3</v>
      </c>
      <c r="I42" t="str">
        <f>VLOOKUP(C42,표1[],6,FALSE)</f>
        <v>진해구</v>
      </c>
      <c r="J42" t="str">
        <f>VLOOKUP(C42,표1[],7,FALSE)</f>
        <v>태평동</v>
      </c>
    </row>
    <row r="43" spans="1:10" x14ac:dyDescent="0.3">
      <c r="A43" s="8" t="s">
        <v>194</v>
      </c>
      <c r="B43" s="8" t="s">
        <v>342</v>
      </c>
      <c r="C43" s="8">
        <v>13</v>
      </c>
      <c r="D43" s="8" t="s">
        <v>343</v>
      </c>
      <c r="E43" s="9">
        <v>10000</v>
      </c>
      <c r="F43" t="b">
        <f>COUNTIF(표5[상품번호],상품!A43) &gt;0</f>
        <v>0</v>
      </c>
      <c r="G43">
        <f>COUNTIF(표4[상품번호],상품!A43)</f>
        <v>1</v>
      </c>
      <c r="H43">
        <f>INDEX(표2[번호],MATCH(LEFT(A43,1),표2[코드],0))</f>
        <v>3</v>
      </c>
      <c r="I43" t="str">
        <f>VLOOKUP(C43,표1[],6,FALSE)</f>
        <v>마산회원구</v>
      </c>
      <c r="J43" t="str">
        <f>VLOOKUP(C43,표1[],7,FALSE)</f>
        <v>봉암동</v>
      </c>
    </row>
    <row r="44" spans="1:10" x14ac:dyDescent="0.3">
      <c r="A44" s="8" t="s">
        <v>344</v>
      </c>
      <c r="B44" s="8" t="s">
        <v>345</v>
      </c>
      <c r="C44" s="8">
        <v>17</v>
      </c>
      <c r="D44" s="8" t="s">
        <v>346</v>
      </c>
      <c r="E44" s="9">
        <v>15000</v>
      </c>
      <c r="F44" t="b">
        <f>COUNTIF(표5[상품번호],상품!A44) &gt;0</f>
        <v>0</v>
      </c>
      <c r="G44">
        <f>COUNTIF(표4[상품번호],상품!A44)</f>
        <v>0</v>
      </c>
      <c r="H44">
        <f>INDEX(표2[번호],MATCH(LEFT(A44,1),표2[코드],0))</f>
        <v>3</v>
      </c>
      <c r="I44" t="str">
        <f>VLOOKUP(C44,표1[],6,FALSE)</f>
        <v>진해구</v>
      </c>
      <c r="J44" t="str">
        <f>VLOOKUP(C44,표1[],7,FALSE)</f>
        <v>덕산동</v>
      </c>
    </row>
    <row r="45" spans="1:10" x14ac:dyDescent="0.3">
      <c r="A45" s="8" t="s">
        <v>347</v>
      </c>
      <c r="B45" s="8" t="s">
        <v>348</v>
      </c>
      <c r="C45" s="8">
        <v>19</v>
      </c>
      <c r="D45" s="8" t="s">
        <v>349</v>
      </c>
      <c r="E45" s="9">
        <v>50000</v>
      </c>
      <c r="F45" t="b">
        <f>COUNTIF(표5[상품번호],상품!A45) &gt;0</f>
        <v>0</v>
      </c>
      <c r="G45">
        <f>COUNTIF(표4[상품번호],상품!A45)</f>
        <v>0</v>
      </c>
      <c r="H45">
        <f>INDEX(표2[번호],MATCH(LEFT(A45,1),표2[코드],0))</f>
        <v>3</v>
      </c>
      <c r="I45" t="str">
        <f>VLOOKUP(C45,표1[],6,FALSE)</f>
        <v>마산회원구</v>
      </c>
      <c r="J45" t="str">
        <f>VLOOKUP(C45,표1[],7,FALSE)</f>
        <v>양덕1동</v>
      </c>
    </row>
    <row r="46" spans="1:10" x14ac:dyDescent="0.3">
      <c r="A46" s="8" t="s">
        <v>350</v>
      </c>
      <c r="B46" s="8" t="s">
        <v>351</v>
      </c>
      <c r="C46" s="8">
        <v>24</v>
      </c>
      <c r="D46" s="8" t="s">
        <v>352</v>
      </c>
      <c r="E46" s="9">
        <v>80000</v>
      </c>
      <c r="F46" t="b">
        <f>COUNTIF(표5[상품번호],상품!A46) &gt;0</f>
        <v>0</v>
      </c>
      <c r="G46">
        <f>COUNTIF(표4[상품번호],상품!A46)</f>
        <v>0</v>
      </c>
      <c r="H46">
        <f>INDEX(표2[번호],MATCH(LEFT(A46,1),표2[코드],0))</f>
        <v>3</v>
      </c>
      <c r="I46" t="str">
        <f>VLOOKUP(C46,표1[],6,FALSE)</f>
        <v>마산합포구</v>
      </c>
      <c r="J46" t="str">
        <f>VLOOKUP(C46,표1[],7,FALSE)</f>
        <v>합포동</v>
      </c>
    </row>
    <row r="47" spans="1:10" x14ac:dyDescent="0.3">
      <c r="A47" s="8" t="s">
        <v>353</v>
      </c>
      <c r="B47" s="8" t="s">
        <v>354</v>
      </c>
      <c r="C47" s="8">
        <v>1</v>
      </c>
      <c r="D47" s="8" t="s">
        <v>355</v>
      </c>
      <c r="E47" s="9">
        <v>15000</v>
      </c>
      <c r="F47" t="b">
        <f>COUNTIF(표5[상품번호],상품!A47) &gt;0</f>
        <v>0</v>
      </c>
      <c r="G47">
        <f>COUNTIF(표4[상품번호],상품!A47)</f>
        <v>0</v>
      </c>
      <c r="H47">
        <f>INDEX(표2[번호],MATCH(LEFT(A47,1),표2[코드],0))</f>
        <v>3</v>
      </c>
      <c r="I47" t="str">
        <f>VLOOKUP(C47,표1[],6,FALSE)</f>
        <v>성산구</v>
      </c>
      <c r="J47" t="str">
        <f>VLOOKUP(C47,표1[],7,FALSE)</f>
        <v>중앙동</v>
      </c>
    </row>
    <row r="48" spans="1:10" x14ac:dyDescent="0.3">
      <c r="A48" s="8" t="s">
        <v>356</v>
      </c>
      <c r="B48" s="8" t="s">
        <v>357</v>
      </c>
      <c r="C48" s="8">
        <v>9</v>
      </c>
      <c r="D48" s="8" t="s">
        <v>358</v>
      </c>
      <c r="E48" s="9">
        <v>30000</v>
      </c>
      <c r="F48" t="b">
        <f>COUNTIF(표5[상품번호],상품!A48) &gt;0</f>
        <v>1</v>
      </c>
      <c r="G48">
        <f>COUNTIF(표4[상품번호],상품!A48)</f>
        <v>0</v>
      </c>
      <c r="H48">
        <f>INDEX(표2[번호],MATCH(LEFT(A48,1),표2[코드],0))</f>
        <v>3</v>
      </c>
      <c r="I48" t="str">
        <f>VLOOKUP(C48,표1[],6,FALSE)</f>
        <v>마산합포구</v>
      </c>
      <c r="J48" t="str">
        <f>VLOOKUP(C48,표1[],7,FALSE)</f>
        <v>월영동</v>
      </c>
    </row>
    <row r="49" spans="1:10" x14ac:dyDescent="0.3">
      <c r="A49" s="8" t="s">
        <v>359</v>
      </c>
      <c r="B49" s="8" t="s">
        <v>360</v>
      </c>
      <c r="C49" s="8">
        <v>11</v>
      </c>
      <c r="D49" s="8" t="s">
        <v>361</v>
      </c>
      <c r="E49" s="9">
        <v>40000</v>
      </c>
      <c r="F49" t="b">
        <f>COUNTIF(표5[상품번호],상품!A49) &gt;0</f>
        <v>1</v>
      </c>
      <c r="G49">
        <f>COUNTIF(표4[상품번호],상품!A49)</f>
        <v>0</v>
      </c>
      <c r="H49">
        <f>INDEX(표2[번호],MATCH(LEFT(A49,1),표2[코드],0))</f>
        <v>3</v>
      </c>
      <c r="I49" t="str">
        <f>VLOOKUP(C49,표1[],6,FALSE)</f>
        <v>의창구</v>
      </c>
      <c r="J49" t="str">
        <f>VLOOKUP(C49,표1[],7,FALSE)</f>
        <v>팔룡동</v>
      </c>
    </row>
    <row r="50" spans="1:10" x14ac:dyDescent="0.3">
      <c r="A50" s="8" t="s">
        <v>362</v>
      </c>
      <c r="B50" s="8" t="s">
        <v>363</v>
      </c>
      <c r="C50" s="8">
        <v>4</v>
      </c>
      <c r="D50" s="8" t="s">
        <v>364</v>
      </c>
      <c r="E50" s="9">
        <v>20000</v>
      </c>
      <c r="F50" t="b">
        <f>COUNTIF(표5[상품번호],상품!A50) &gt;0</f>
        <v>0</v>
      </c>
      <c r="G50">
        <f>COUNTIF(표4[상품번호],상품!A50)</f>
        <v>0</v>
      </c>
      <c r="H50">
        <f>INDEX(표2[번호],MATCH(LEFT(A50,1),표2[코드],0))</f>
        <v>3</v>
      </c>
      <c r="I50" t="str">
        <f>VLOOKUP(C50,표1[],6,FALSE)</f>
        <v>마산합포구</v>
      </c>
      <c r="J50" t="str">
        <f>VLOOKUP(C50,표1[],7,FALSE)</f>
        <v>현동</v>
      </c>
    </row>
    <row r="51" spans="1:10" x14ac:dyDescent="0.3">
      <c r="A51" s="8" t="s">
        <v>226</v>
      </c>
      <c r="B51" s="8" t="s">
        <v>365</v>
      </c>
      <c r="C51" s="8">
        <v>7</v>
      </c>
      <c r="D51" s="8" t="s">
        <v>366</v>
      </c>
      <c r="E51" s="9">
        <v>10000</v>
      </c>
      <c r="F51" t="b">
        <f>COUNTIF(표5[상품번호],상품!A51) &gt;0</f>
        <v>1</v>
      </c>
      <c r="G51">
        <f>COUNTIF(표4[상품번호],상품!A51)</f>
        <v>1</v>
      </c>
      <c r="H51">
        <f>INDEX(표2[번호],MATCH(LEFT(A51,1),표2[코드],0))</f>
        <v>3</v>
      </c>
      <c r="I51" t="str">
        <f>VLOOKUP(C51,표1[],6,FALSE)</f>
        <v>진해구</v>
      </c>
      <c r="J51" t="str">
        <f>VLOOKUP(C51,표1[],7,FALSE)</f>
        <v>경화동</v>
      </c>
    </row>
    <row r="52" spans="1:10" x14ac:dyDescent="0.3">
      <c r="A52" s="8" t="s">
        <v>367</v>
      </c>
      <c r="B52" s="8" t="s">
        <v>368</v>
      </c>
      <c r="C52" s="8">
        <v>20</v>
      </c>
      <c r="D52" s="8" t="s">
        <v>369</v>
      </c>
      <c r="E52" s="9">
        <v>8000</v>
      </c>
      <c r="F52" t="b">
        <f>COUNTIF(표5[상품번호],상품!A52) &gt;0</f>
        <v>1</v>
      </c>
      <c r="G52">
        <f>COUNTIF(표4[상품번호],상품!A52)</f>
        <v>0</v>
      </c>
      <c r="H52">
        <f>INDEX(표2[번호],MATCH(LEFT(A52,1),표2[코드],0))</f>
        <v>3</v>
      </c>
      <c r="I52" t="str">
        <f>VLOOKUP(C52,표1[],6,FALSE)</f>
        <v>마산합포구</v>
      </c>
      <c r="J52" t="str">
        <f>VLOOKUP(C52,표1[],7,FALSE)</f>
        <v>간호동</v>
      </c>
    </row>
    <row r="53" spans="1:10" x14ac:dyDescent="0.3">
      <c r="A53" s="8" t="s">
        <v>200</v>
      </c>
      <c r="B53" s="8" t="s">
        <v>370</v>
      </c>
      <c r="C53" s="8">
        <v>15</v>
      </c>
      <c r="D53" s="8" t="s">
        <v>371</v>
      </c>
      <c r="E53" s="9">
        <v>8000</v>
      </c>
      <c r="F53" t="b">
        <f>COUNTIF(표5[상품번호],상품!A53) &gt;0</f>
        <v>0</v>
      </c>
      <c r="G53">
        <f>COUNTIF(표4[상품번호],상품!A53)</f>
        <v>1</v>
      </c>
      <c r="H53">
        <f>INDEX(표2[번호],MATCH(LEFT(A53,1),표2[코드],0))</f>
        <v>3</v>
      </c>
      <c r="I53" t="str">
        <f>VLOOKUP(C53,표1[],6,FALSE)</f>
        <v>의창구</v>
      </c>
      <c r="J53" t="str">
        <f>VLOOKUP(C53,표1[],7,FALSE)</f>
        <v>명곡동</v>
      </c>
    </row>
    <row r="54" spans="1:10" x14ac:dyDescent="0.3">
      <c r="A54" s="8" t="s">
        <v>372</v>
      </c>
      <c r="B54" s="8" t="s">
        <v>373</v>
      </c>
      <c r="C54" s="8">
        <v>6</v>
      </c>
      <c r="D54" s="8" t="s">
        <v>374</v>
      </c>
      <c r="E54" s="9">
        <v>5000</v>
      </c>
      <c r="F54" t="b">
        <f>COUNTIF(표5[상품번호],상품!A54) &gt;0</f>
        <v>0</v>
      </c>
      <c r="G54">
        <f>COUNTIF(표4[상품번호],상품!A54)</f>
        <v>0</v>
      </c>
      <c r="H54">
        <f>INDEX(표2[번호],MATCH(LEFT(A54,1),표2[코드],0))</f>
        <v>3</v>
      </c>
      <c r="I54" t="str">
        <f>VLOOKUP(C54,표1[],6,FALSE)</f>
        <v>성산구</v>
      </c>
      <c r="J54" t="str">
        <f>VLOOKUP(C54,표1[],7,FALSE)</f>
        <v>중앙동</v>
      </c>
    </row>
    <row r="55" spans="1:10" x14ac:dyDescent="0.3">
      <c r="A55" s="8" t="s">
        <v>223</v>
      </c>
      <c r="B55" s="8" t="s">
        <v>375</v>
      </c>
      <c r="C55" s="8">
        <v>2</v>
      </c>
      <c r="D55" s="8" t="s">
        <v>376</v>
      </c>
      <c r="E55" s="9">
        <v>4000</v>
      </c>
      <c r="F55" t="b">
        <f>COUNTIF(표5[상품번호],상품!A55) &gt;0</f>
        <v>0</v>
      </c>
      <c r="G55">
        <f>COUNTIF(표4[상품번호],상품!A55)</f>
        <v>2</v>
      </c>
      <c r="H55">
        <f>INDEX(표2[번호],MATCH(LEFT(A55,1),표2[코드],0))</f>
        <v>3</v>
      </c>
      <c r="I55" t="str">
        <f>VLOOKUP(C55,표1[],6,FALSE)</f>
        <v>진해구</v>
      </c>
      <c r="J55" t="str">
        <f>VLOOKUP(C55,표1[],7,FALSE)</f>
        <v>충무동</v>
      </c>
    </row>
    <row r="56" spans="1:10" x14ac:dyDescent="0.3">
      <c r="A56" s="8" t="s">
        <v>377</v>
      </c>
      <c r="B56" s="8" t="s">
        <v>378</v>
      </c>
      <c r="C56" s="8">
        <v>22</v>
      </c>
      <c r="D56" s="8" t="s">
        <v>379</v>
      </c>
      <c r="E56" s="9">
        <v>7000</v>
      </c>
      <c r="F56" t="b">
        <f>COUNTIF(표5[상품번호],상품!A56) &gt;0</f>
        <v>0</v>
      </c>
      <c r="G56">
        <f>COUNTIF(표4[상품번호],상품!A56)</f>
        <v>0</v>
      </c>
      <c r="H56">
        <f>INDEX(표2[번호],MATCH(LEFT(A56,1),표2[코드],0))</f>
        <v>3</v>
      </c>
      <c r="I56" t="str">
        <f>VLOOKUP(C56,표1[],6,FALSE)</f>
        <v>의창구</v>
      </c>
      <c r="J56" t="str">
        <f>VLOOKUP(C56,표1[],7,FALSE)</f>
        <v>용지동</v>
      </c>
    </row>
    <row r="57" spans="1:10" x14ac:dyDescent="0.3">
      <c r="A57" s="8" t="s">
        <v>380</v>
      </c>
      <c r="B57" s="8" t="s">
        <v>381</v>
      </c>
      <c r="C57" s="8">
        <v>21</v>
      </c>
      <c r="D57" s="8" t="s">
        <v>382</v>
      </c>
      <c r="E57" s="9">
        <v>6000</v>
      </c>
      <c r="F57" t="b">
        <f>COUNTIF(표5[상품번호],상품!A57) &gt;0</f>
        <v>0</v>
      </c>
      <c r="G57">
        <f>COUNTIF(표4[상품번호],상품!A57)</f>
        <v>0</v>
      </c>
      <c r="H57">
        <f>INDEX(표2[번호],MATCH(LEFT(A57,1),표2[코드],0))</f>
        <v>3</v>
      </c>
      <c r="I57" t="str">
        <f>VLOOKUP(C57,표1[],6,FALSE)</f>
        <v>성산구</v>
      </c>
      <c r="J57" t="str">
        <f>VLOOKUP(C57,표1[],7,FALSE)</f>
        <v>웅남동</v>
      </c>
    </row>
    <row r="58" spans="1:10" x14ac:dyDescent="0.3">
      <c r="A58" s="8" t="s">
        <v>383</v>
      </c>
      <c r="B58" s="8" t="s">
        <v>384</v>
      </c>
      <c r="C58" s="8">
        <v>12</v>
      </c>
      <c r="D58" s="8" t="s">
        <v>385</v>
      </c>
      <c r="E58" s="9">
        <v>5000</v>
      </c>
      <c r="F58" t="b">
        <f>COUNTIF(표5[상품번호],상품!A58) &gt;0</f>
        <v>0</v>
      </c>
      <c r="G58">
        <f>COUNTIF(표4[상품번호],상품!A58)</f>
        <v>0</v>
      </c>
      <c r="H58">
        <f>INDEX(표2[번호],MATCH(LEFT(A58,1),표2[코드],0))</f>
        <v>3</v>
      </c>
      <c r="I58" t="str">
        <f>VLOOKUP(C58,표1[],6,FALSE)</f>
        <v>진해구</v>
      </c>
      <c r="J58" t="str">
        <f>VLOOKUP(C58,표1[],7,FALSE)</f>
        <v>자은동</v>
      </c>
    </row>
    <row r="59" spans="1:10" x14ac:dyDescent="0.3">
      <c r="A59" s="8" t="s">
        <v>198</v>
      </c>
      <c r="B59" s="8" t="s">
        <v>386</v>
      </c>
      <c r="C59" s="8">
        <v>14</v>
      </c>
      <c r="D59" s="8" t="s">
        <v>387</v>
      </c>
      <c r="E59" s="9">
        <v>4000</v>
      </c>
      <c r="F59" t="b">
        <f>COUNTIF(표5[상품번호],상품!A59) &gt;0</f>
        <v>0</v>
      </c>
      <c r="G59">
        <f>COUNTIF(표4[상품번호],상품!A59)</f>
        <v>1</v>
      </c>
      <c r="H59">
        <f>INDEX(표2[번호],MATCH(LEFT(A59,1),표2[코드],0))</f>
        <v>3</v>
      </c>
      <c r="I59" t="str">
        <f>VLOOKUP(C59,표1[],6,FALSE)</f>
        <v>성산구</v>
      </c>
      <c r="J59" t="str">
        <f>VLOOKUP(C59,표1[],7,FALSE)</f>
        <v>가음정동</v>
      </c>
    </row>
    <row r="60" spans="1:10" x14ac:dyDescent="0.3">
      <c r="A60" s="8" t="s">
        <v>388</v>
      </c>
      <c r="B60" s="8" t="s">
        <v>389</v>
      </c>
      <c r="C60" s="8">
        <v>18</v>
      </c>
      <c r="D60" s="8" t="s">
        <v>390</v>
      </c>
      <c r="E60" s="9">
        <v>6000</v>
      </c>
      <c r="F60" t="b">
        <f>COUNTIF(표5[상품번호],상품!A60) &gt;0</f>
        <v>0</v>
      </c>
      <c r="G60">
        <f>COUNTIF(표4[상품번호],상품!A60)</f>
        <v>0</v>
      </c>
      <c r="H60">
        <f>INDEX(표2[번호],MATCH(LEFT(A60,1),표2[코드],0))</f>
        <v>3</v>
      </c>
      <c r="I60" t="str">
        <f>VLOOKUP(C60,표1[],6,FALSE)</f>
        <v>의창구</v>
      </c>
      <c r="J60" t="str">
        <f>VLOOKUP(C60,표1[],7,FALSE)</f>
        <v>봉림동</v>
      </c>
    </row>
    <row r="61" spans="1:10" x14ac:dyDescent="0.3">
      <c r="A61" s="8" t="s">
        <v>391</v>
      </c>
      <c r="B61" s="8" t="s">
        <v>392</v>
      </c>
      <c r="C61" s="8">
        <v>3</v>
      </c>
      <c r="D61" s="8" t="s">
        <v>393</v>
      </c>
      <c r="E61" s="9">
        <v>30000</v>
      </c>
      <c r="F61" t="b">
        <f>COUNTIF(표5[상품번호],상품!A61) &gt;0</f>
        <v>0</v>
      </c>
      <c r="G61">
        <f>COUNTIF(표4[상품번호],상품!A61)</f>
        <v>0</v>
      </c>
      <c r="H61">
        <f>INDEX(표2[번호],MATCH(LEFT(A61,1),표2[코드],0))</f>
        <v>3</v>
      </c>
      <c r="I61" t="str">
        <f>VLOOKUP(C61,표1[],6,FALSE)</f>
        <v>마산회원구</v>
      </c>
      <c r="J61" t="str">
        <f>VLOOKUP(C61,표1[],7,FALSE)</f>
        <v>석전동</v>
      </c>
    </row>
    <row r="62" spans="1:10" x14ac:dyDescent="0.3">
      <c r="A62" s="8" t="s">
        <v>394</v>
      </c>
      <c r="B62" s="8" t="s">
        <v>395</v>
      </c>
      <c r="C62" s="8">
        <v>1</v>
      </c>
      <c r="D62" s="8" t="s">
        <v>396</v>
      </c>
      <c r="E62" s="9">
        <v>2000</v>
      </c>
      <c r="F62" t="b">
        <f>COUNTIF(표5[상품번호],상품!A62) &gt;0</f>
        <v>1</v>
      </c>
      <c r="G62">
        <f>COUNTIF(표4[상품번호],상품!A62)</f>
        <v>0</v>
      </c>
      <c r="H62">
        <f>INDEX(표2[번호],MATCH(LEFT(A62,1),표2[코드],0))</f>
        <v>4</v>
      </c>
      <c r="I62" t="str">
        <f>VLOOKUP(C62,표1[],6,FALSE)</f>
        <v>성산구</v>
      </c>
      <c r="J62" t="str">
        <f>VLOOKUP(C62,표1[],7,FALSE)</f>
        <v>중앙동</v>
      </c>
    </row>
    <row r="63" spans="1:10" x14ac:dyDescent="0.3">
      <c r="A63" s="8" t="s">
        <v>397</v>
      </c>
      <c r="B63" s="8" t="s">
        <v>398</v>
      </c>
      <c r="C63" s="8">
        <v>9</v>
      </c>
      <c r="D63" s="8" t="s">
        <v>399</v>
      </c>
      <c r="E63" s="9">
        <v>1000</v>
      </c>
      <c r="F63" t="b">
        <f>COUNTIF(표5[상품번호],상품!A63) &gt;0</f>
        <v>0</v>
      </c>
      <c r="G63">
        <f>COUNTIF(표4[상품번호],상품!A63)</f>
        <v>0</v>
      </c>
      <c r="H63">
        <f>INDEX(표2[번호],MATCH(LEFT(A63,1),표2[코드],0))</f>
        <v>4</v>
      </c>
      <c r="I63" t="str">
        <f>VLOOKUP(C63,표1[],6,FALSE)</f>
        <v>마산합포구</v>
      </c>
      <c r="J63" t="str">
        <f>VLOOKUP(C63,표1[],7,FALSE)</f>
        <v>월영동</v>
      </c>
    </row>
    <row r="64" spans="1:10" x14ac:dyDescent="0.3">
      <c r="A64" s="8" t="s">
        <v>215</v>
      </c>
      <c r="B64" s="8" t="s">
        <v>400</v>
      </c>
      <c r="C64" s="8">
        <v>11</v>
      </c>
      <c r="D64" s="8" t="s">
        <v>401</v>
      </c>
      <c r="E64" s="9">
        <v>3000</v>
      </c>
      <c r="F64" t="b">
        <f>COUNTIF(표5[상품번호],상품!A64) &gt;0</f>
        <v>0</v>
      </c>
      <c r="G64">
        <f>COUNTIF(표4[상품번호],상품!A64)</f>
        <v>2</v>
      </c>
      <c r="H64">
        <f>INDEX(표2[번호],MATCH(LEFT(A64,1),표2[코드],0))</f>
        <v>4</v>
      </c>
      <c r="I64" t="str">
        <f>VLOOKUP(C64,표1[],6,FALSE)</f>
        <v>의창구</v>
      </c>
      <c r="J64" t="str">
        <f>VLOOKUP(C64,표1[],7,FALSE)</f>
        <v>팔룡동</v>
      </c>
    </row>
    <row r="65" spans="1:10" x14ac:dyDescent="0.3">
      <c r="A65" s="8" t="s">
        <v>402</v>
      </c>
      <c r="B65" s="8" t="s">
        <v>403</v>
      </c>
      <c r="C65" s="8">
        <v>4</v>
      </c>
      <c r="D65" s="8" t="s">
        <v>404</v>
      </c>
      <c r="E65" s="9">
        <v>3000</v>
      </c>
      <c r="F65" t="b">
        <f>COUNTIF(표5[상품번호],상품!A65) &gt;0</f>
        <v>0</v>
      </c>
      <c r="G65">
        <f>COUNTIF(표4[상품번호],상품!A65)</f>
        <v>0</v>
      </c>
      <c r="H65">
        <f>INDEX(표2[번호],MATCH(LEFT(A65,1),표2[코드],0))</f>
        <v>4</v>
      </c>
      <c r="I65" t="str">
        <f>VLOOKUP(C65,표1[],6,FALSE)</f>
        <v>마산합포구</v>
      </c>
      <c r="J65" t="str">
        <f>VLOOKUP(C65,표1[],7,FALSE)</f>
        <v>현동</v>
      </c>
    </row>
    <row r="66" spans="1:10" x14ac:dyDescent="0.3">
      <c r="A66" s="8" t="s">
        <v>405</v>
      </c>
      <c r="B66" s="8" t="s">
        <v>406</v>
      </c>
      <c r="C66" s="8">
        <v>7</v>
      </c>
      <c r="D66" s="8" t="s">
        <v>407</v>
      </c>
      <c r="E66" s="9">
        <v>2000</v>
      </c>
      <c r="F66" t="b">
        <f>COUNTIF(표5[상품번호],상품!A66) &gt;0</f>
        <v>0</v>
      </c>
      <c r="G66">
        <f>COUNTIF(표4[상품번호],상품!A66)</f>
        <v>0</v>
      </c>
      <c r="H66">
        <f>INDEX(표2[번호],MATCH(LEFT(A66,1),표2[코드],0))</f>
        <v>4</v>
      </c>
      <c r="I66" t="str">
        <f>VLOOKUP(C66,표1[],6,FALSE)</f>
        <v>진해구</v>
      </c>
      <c r="J66" t="str">
        <f>VLOOKUP(C66,표1[],7,FALSE)</f>
        <v>경화동</v>
      </c>
    </row>
    <row r="67" spans="1:10" x14ac:dyDescent="0.3">
      <c r="A67" s="8" t="s">
        <v>408</v>
      </c>
      <c r="B67" s="8" t="s">
        <v>409</v>
      </c>
      <c r="C67" s="8">
        <v>20</v>
      </c>
      <c r="D67" s="8" t="s">
        <v>410</v>
      </c>
      <c r="E67" s="9">
        <v>2000</v>
      </c>
      <c r="F67" t="b">
        <f>COUNTIF(표5[상품번호],상품!A67) &gt;0</f>
        <v>1</v>
      </c>
      <c r="G67">
        <f>COUNTIF(표4[상품번호],상품!A67)</f>
        <v>0</v>
      </c>
      <c r="H67">
        <f>INDEX(표2[번호],MATCH(LEFT(A67,1),표2[코드],0))</f>
        <v>4</v>
      </c>
      <c r="I67" t="str">
        <f>VLOOKUP(C67,표1[],6,FALSE)</f>
        <v>마산합포구</v>
      </c>
      <c r="J67" t="str">
        <f>VLOOKUP(C67,표1[],7,FALSE)</f>
        <v>간호동</v>
      </c>
    </row>
    <row r="68" spans="1:10" x14ac:dyDescent="0.3">
      <c r="A68" s="8" t="s">
        <v>217</v>
      </c>
      <c r="B68" s="8" t="s">
        <v>411</v>
      </c>
      <c r="C68" s="8">
        <v>15</v>
      </c>
      <c r="D68" s="8" t="s">
        <v>412</v>
      </c>
      <c r="E68" s="9">
        <v>1000</v>
      </c>
      <c r="F68" t="b">
        <f>COUNTIF(표5[상품번호],상품!A68) &gt;0</f>
        <v>0</v>
      </c>
      <c r="G68">
        <f>COUNTIF(표4[상품번호],상품!A68)</f>
        <v>1</v>
      </c>
      <c r="H68">
        <f>INDEX(표2[번호],MATCH(LEFT(A68,1),표2[코드],0))</f>
        <v>4</v>
      </c>
      <c r="I68" t="str">
        <f>VLOOKUP(C68,표1[],6,FALSE)</f>
        <v>의창구</v>
      </c>
      <c r="J68" t="str">
        <f>VLOOKUP(C68,표1[],7,FALSE)</f>
        <v>명곡동</v>
      </c>
    </row>
    <row r="69" spans="1:10" x14ac:dyDescent="0.3">
      <c r="A69" s="8" t="s">
        <v>413</v>
      </c>
      <c r="B69" s="8" t="s">
        <v>414</v>
      </c>
      <c r="C69" s="8">
        <v>6</v>
      </c>
      <c r="D69" s="8" t="s">
        <v>415</v>
      </c>
      <c r="E69" s="9">
        <v>1000</v>
      </c>
      <c r="F69" t="b">
        <f>COUNTIF(표5[상품번호],상품!A69) &gt;0</f>
        <v>0</v>
      </c>
      <c r="G69">
        <f>COUNTIF(표4[상품번호],상품!A69)</f>
        <v>0</v>
      </c>
      <c r="H69">
        <f>INDEX(표2[번호],MATCH(LEFT(A69,1),표2[코드],0))</f>
        <v>4</v>
      </c>
      <c r="I69" t="str">
        <f>VLOOKUP(C69,표1[],6,FALSE)</f>
        <v>성산구</v>
      </c>
      <c r="J69" t="str">
        <f>VLOOKUP(C69,표1[],7,FALSE)</f>
        <v>중앙동</v>
      </c>
    </row>
    <row r="70" spans="1:10" x14ac:dyDescent="0.3">
      <c r="A70" s="8" t="s">
        <v>416</v>
      </c>
      <c r="B70" s="8" t="s">
        <v>417</v>
      </c>
      <c r="C70" s="8">
        <v>2</v>
      </c>
      <c r="D70" s="8" t="s">
        <v>418</v>
      </c>
      <c r="E70" s="9">
        <v>1000</v>
      </c>
      <c r="F70" t="b">
        <f>COUNTIF(표5[상품번호],상품!A70) &gt;0</f>
        <v>0</v>
      </c>
      <c r="G70">
        <f>COUNTIF(표4[상품번호],상품!A70)</f>
        <v>0</v>
      </c>
      <c r="H70">
        <f>INDEX(표2[번호],MATCH(LEFT(A70,1),표2[코드],0))</f>
        <v>4</v>
      </c>
      <c r="I70" t="str">
        <f>VLOOKUP(C70,표1[],6,FALSE)</f>
        <v>진해구</v>
      </c>
      <c r="J70" t="str">
        <f>VLOOKUP(C70,표1[],7,FALSE)</f>
        <v>충무동</v>
      </c>
    </row>
    <row r="71" spans="1:10" x14ac:dyDescent="0.3">
      <c r="A71" s="8" t="s">
        <v>419</v>
      </c>
      <c r="B71" s="8" t="s">
        <v>420</v>
      </c>
      <c r="C71" s="8">
        <v>22</v>
      </c>
      <c r="D71" s="8" t="s">
        <v>421</v>
      </c>
      <c r="E71" s="9">
        <v>1000</v>
      </c>
      <c r="F71" t="b">
        <f>COUNTIF(표5[상품번호],상품!A71) &gt;0</f>
        <v>1</v>
      </c>
      <c r="G71">
        <f>COUNTIF(표4[상품번호],상품!A71)</f>
        <v>0</v>
      </c>
      <c r="H71">
        <f>INDEX(표2[번호],MATCH(LEFT(A71,1),표2[코드],0))</f>
        <v>4</v>
      </c>
      <c r="I71" t="str">
        <f>VLOOKUP(C71,표1[],6,FALSE)</f>
        <v>의창구</v>
      </c>
      <c r="J71" t="str">
        <f>VLOOKUP(C71,표1[],7,FALSE)</f>
        <v>용지동</v>
      </c>
    </row>
    <row r="72" spans="1:10" x14ac:dyDescent="0.3">
      <c r="A72" s="8" t="s">
        <v>422</v>
      </c>
      <c r="B72" s="8" t="s">
        <v>423</v>
      </c>
      <c r="C72" s="8">
        <v>21</v>
      </c>
      <c r="D72" s="8" t="s">
        <v>424</v>
      </c>
      <c r="E72" s="9">
        <v>1000</v>
      </c>
      <c r="F72" t="b">
        <f>COUNTIF(표5[상품번호],상품!A72) &gt;0</f>
        <v>0</v>
      </c>
      <c r="G72">
        <f>COUNTIF(표4[상품번호],상품!A72)</f>
        <v>0</v>
      </c>
      <c r="H72">
        <f>INDEX(표2[번호],MATCH(LEFT(A72,1),표2[코드],0))</f>
        <v>4</v>
      </c>
      <c r="I72" t="str">
        <f>VLOOKUP(C72,표1[],6,FALSE)</f>
        <v>성산구</v>
      </c>
      <c r="J72" t="str">
        <f>VLOOKUP(C72,표1[],7,FALSE)</f>
        <v>웅남동</v>
      </c>
    </row>
    <row r="73" spans="1:10" x14ac:dyDescent="0.3">
      <c r="A73" s="8" t="s">
        <v>425</v>
      </c>
      <c r="B73" s="8" t="s">
        <v>426</v>
      </c>
      <c r="C73" s="8">
        <v>12</v>
      </c>
      <c r="D73" s="8" t="s">
        <v>427</v>
      </c>
      <c r="E73" s="9">
        <v>1000</v>
      </c>
      <c r="F73" t="b">
        <f>COUNTIF(표5[상품번호],상품!A73) &gt;0</f>
        <v>0</v>
      </c>
      <c r="G73">
        <f>COUNTIF(표4[상품번호],상품!A73)</f>
        <v>0</v>
      </c>
      <c r="H73">
        <f>INDEX(표2[번호],MATCH(LEFT(A73,1),표2[코드],0))</f>
        <v>4</v>
      </c>
      <c r="I73" t="str">
        <f>VLOOKUP(C73,표1[],6,FALSE)</f>
        <v>진해구</v>
      </c>
      <c r="J73" t="str">
        <f>VLOOKUP(C73,표1[],7,FALSE)</f>
        <v>자은동</v>
      </c>
    </row>
    <row r="74" spans="1:10" x14ac:dyDescent="0.3">
      <c r="A74" s="8" t="s">
        <v>428</v>
      </c>
      <c r="B74" s="8" t="s">
        <v>429</v>
      </c>
      <c r="C74" s="8">
        <v>14</v>
      </c>
      <c r="D74" s="8" t="s">
        <v>430</v>
      </c>
      <c r="E74" s="9">
        <v>1000</v>
      </c>
      <c r="F74" t="b">
        <f>COUNTIF(표5[상품번호],상품!A74) &gt;0</f>
        <v>1</v>
      </c>
      <c r="G74">
        <f>COUNTIF(표4[상품번호],상품!A74)</f>
        <v>0</v>
      </c>
      <c r="H74">
        <f>INDEX(표2[번호],MATCH(LEFT(A74,1),표2[코드],0))</f>
        <v>4</v>
      </c>
      <c r="I74" t="str">
        <f>VLOOKUP(C74,표1[],6,FALSE)</f>
        <v>성산구</v>
      </c>
      <c r="J74" t="str">
        <f>VLOOKUP(C74,표1[],7,FALSE)</f>
        <v>가음정동</v>
      </c>
    </row>
    <row r="75" spans="1:10" x14ac:dyDescent="0.3">
      <c r="A75" s="8" t="s">
        <v>431</v>
      </c>
      <c r="B75" s="8" t="s">
        <v>432</v>
      </c>
      <c r="C75" s="8">
        <v>18</v>
      </c>
      <c r="D75" s="8" t="s">
        <v>433</v>
      </c>
      <c r="E75" s="9">
        <v>2000</v>
      </c>
      <c r="F75" t="b">
        <f>COUNTIF(표5[상품번호],상품!A75) &gt;0</f>
        <v>0</v>
      </c>
      <c r="G75">
        <f>COUNTIF(표4[상품번호],상품!A75)</f>
        <v>0</v>
      </c>
      <c r="H75">
        <f>INDEX(표2[번호],MATCH(LEFT(A75,1),표2[코드],0))</f>
        <v>4</v>
      </c>
      <c r="I75" t="str">
        <f>VLOOKUP(C75,표1[],6,FALSE)</f>
        <v>의창구</v>
      </c>
      <c r="J75" t="str">
        <f>VLOOKUP(C75,표1[],7,FALSE)</f>
        <v>봉림동</v>
      </c>
    </row>
    <row r="76" spans="1:10" x14ac:dyDescent="0.3">
      <c r="A76" s="8" t="s">
        <v>434</v>
      </c>
      <c r="B76" s="8" t="s">
        <v>435</v>
      </c>
      <c r="C76" s="8">
        <v>3</v>
      </c>
      <c r="D76" s="8" t="s">
        <v>436</v>
      </c>
      <c r="E76" s="9">
        <v>1000</v>
      </c>
      <c r="F76" t="b">
        <f>COUNTIF(표5[상품번호],상품!A76) &gt;0</f>
        <v>0</v>
      </c>
      <c r="G76">
        <f>COUNTIF(표4[상품번호],상품!A76)</f>
        <v>0</v>
      </c>
      <c r="H76">
        <f>INDEX(표2[번호],MATCH(LEFT(A76,1),표2[코드],0))</f>
        <v>4</v>
      </c>
      <c r="I76" t="str">
        <f>VLOOKUP(C76,표1[],6,FALSE)</f>
        <v>마산회원구</v>
      </c>
      <c r="J76" t="str">
        <f>VLOOKUP(C76,표1[],7,FALSE)</f>
        <v>석전동</v>
      </c>
    </row>
    <row r="77" spans="1:10" x14ac:dyDescent="0.3">
      <c r="A77" s="8" t="s">
        <v>437</v>
      </c>
      <c r="B77" s="8" t="s">
        <v>438</v>
      </c>
      <c r="C77" s="8">
        <v>10</v>
      </c>
      <c r="D77" s="8" t="s">
        <v>439</v>
      </c>
      <c r="E77" s="9">
        <v>3000</v>
      </c>
      <c r="F77" t="b">
        <f>COUNTIF(표5[상품번호],상품!A77) &gt;0</f>
        <v>0</v>
      </c>
      <c r="G77">
        <f>COUNTIF(표4[상품번호],상품!A77)</f>
        <v>0</v>
      </c>
      <c r="H77">
        <f>INDEX(표2[번호],MATCH(LEFT(A77,1),표2[코드],0))</f>
        <v>4</v>
      </c>
      <c r="I77" t="str">
        <f>VLOOKUP(C77,표1[],6,FALSE)</f>
        <v>성산구</v>
      </c>
      <c r="J77" t="str">
        <f>VLOOKUP(C77,표1[],7,FALSE)</f>
        <v>사파동</v>
      </c>
    </row>
    <row r="78" spans="1:10" x14ac:dyDescent="0.3">
      <c r="A78" s="8" t="s">
        <v>440</v>
      </c>
      <c r="B78" s="8" t="s">
        <v>441</v>
      </c>
      <c r="C78" s="8">
        <v>8</v>
      </c>
      <c r="D78" s="8" t="s">
        <v>442</v>
      </c>
      <c r="E78" s="9">
        <v>2000</v>
      </c>
      <c r="F78" t="b">
        <f>COUNTIF(표5[상품번호],상품!A78) &gt;0</f>
        <v>0</v>
      </c>
      <c r="G78">
        <f>COUNTIF(표4[상품번호],상품!A78)</f>
        <v>0</v>
      </c>
      <c r="H78">
        <f>INDEX(표2[번호],MATCH(LEFT(A78,1),표2[코드],0))</f>
        <v>4</v>
      </c>
      <c r="I78" t="str">
        <f>VLOOKUP(C78,표1[],6,FALSE)</f>
        <v>마산회원구</v>
      </c>
      <c r="J78" t="str">
        <f>VLOOKUP(C78,표1[],7,FALSE)</f>
        <v>회성동</v>
      </c>
    </row>
    <row r="79" spans="1:10" x14ac:dyDescent="0.3">
      <c r="A79" s="8" t="s">
        <v>443</v>
      </c>
      <c r="B79" s="8" t="s">
        <v>444</v>
      </c>
      <c r="C79" s="8">
        <v>5</v>
      </c>
      <c r="D79" s="8" t="s">
        <v>445</v>
      </c>
      <c r="E79" s="9">
        <v>1000</v>
      </c>
      <c r="F79" t="b">
        <f>COUNTIF(표5[상품번호],상품!A79) &gt;0</f>
        <v>0</v>
      </c>
      <c r="G79">
        <f>COUNTIF(표4[상품번호],상품!A79)</f>
        <v>0</v>
      </c>
      <c r="H79">
        <f>INDEX(표2[번호],MATCH(LEFT(A79,1),표2[코드],0))</f>
        <v>4</v>
      </c>
      <c r="I79" t="str">
        <f>VLOOKUP(C79,표1[],6,FALSE)</f>
        <v>의창구</v>
      </c>
      <c r="J79" t="str">
        <f>VLOOKUP(C79,표1[],7,FALSE)</f>
        <v>의창동</v>
      </c>
    </row>
    <row r="80" spans="1:10" x14ac:dyDescent="0.3">
      <c r="A80" s="8" t="s">
        <v>446</v>
      </c>
      <c r="B80" s="8" t="s">
        <v>447</v>
      </c>
      <c r="C80" s="8">
        <v>16</v>
      </c>
      <c r="D80" s="8" t="s">
        <v>448</v>
      </c>
      <c r="E80" s="9">
        <v>15000</v>
      </c>
      <c r="F80" t="b">
        <f>COUNTIF(표5[상품번호],상품!A80) &gt;0</f>
        <v>0</v>
      </c>
      <c r="G80">
        <f>COUNTIF(표4[상품번호],상품!A80)</f>
        <v>0</v>
      </c>
      <c r="H80">
        <f>INDEX(표2[번호],MATCH(LEFT(A80,1),표2[코드],0))</f>
        <v>4</v>
      </c>
      <c r="I80" t="str">
        <f>VLOOKUP(C80,표1[],6,FALSE)</f>
        <v>마산합포구</v>
      </c>
      <c r="J80" t="str">
        <f>VLOOKUP(C80,표1[],7,FALSE)</f>
        <v>교방동</v>
      </c>
    </row>
    <row r="81" spans="1:10" x14ac:dyDescent="0.3">
      <c r="A81" s="8" t="s">
        <v>449</v>
      </c>
      <c r="B81" s="8" t="s">
        <v>450</v>
      </c>
      <c r="C81" s="8">
        <v>25</v>
      </c>
      <c r="D81" s="8" t="s">
        <v>451</v>
      </c>
      <c r="E81" s="9">
        <v>3000</v>
      </c>
      <c r="F81" t="b">
        <f>COUNTIF(표5[상품번호],상품!A81) &gt;0</f>
        <v>0</v>
      </c>
      <c r="G81">
        <f>COUNTIF(표4[상품번호],상품!A81)</f>
        <v>0</v>
      </c>
      <c r="H81">
        <f>INDEX(표2[번호],MATCH(LEFT(A81,1),표2[코드],0))</f>
        <v>4</v>
      </c>
      <c r="I81" t="str">
        <f>VLOOKUP(C81,표1[],6,FALSE)</f>
        <v>마산회원구</v>
      </c>
      <c r="J81" t="str">
        <f>VLOOKUP(C81,표1[],7,FALSE)</f>
        <v>양덕2동</v>
      </c>
    </row>
    <row r="82" spans="1:10" x14ac:dyDescent="0.3">
      <c r="A82" s="8" t="s">
        <v>452</v>
      </c>
      <c r="B82" s="8" t="s">
        <v>453</v>
      </c>
      <c r="C82" s="8">
        <v>20</v>
      </c>
      <c r="D82" s="8" t="s">
        <v>454</v>
      </c>
      <c r="E82" s="9">
        <v>5000</v>
      </c>
      <c r="F82" t="b">
        <f>COUNTIF(표5[상품번호],상품!A82) &gt;0</f>
        <v>0</v>
      </c>
      <c r="G82">
        <f>COUNTIF(표4[상품번호],상품!A82)</f>
        <v>0</v>
      </c>
      <c r="H82">
        <f>INDEX(표2[번호],MATCH(LEFT(A82,1),표2[코드],0))</f>
        <v>5</v>
      </c>
      <c r="I82" t="str">
        <f>VLOOKUP(C82,표1[],6,FALSE)</f>
        <v>마산합포구</v>
      </c>
      <c r="J82" t="str">
        <f>VLOOKUP(C82,표1[],7,FALSE)</f>
        <v>간호동</v>
      </c>
    </row>
    <row r="83" spans="1:10" x14ac:dyDescent="0.3">
      <c r="A83" s="8" t="s">
        <v>455</v>
      </c>
      <c r="B83" s="8" t="s">
        <v>456</v>
      </c>
      <c r="C83" s="8">
        <v>15</v>
      </c>
      <c r="D83" s="8" t="s">
        <v>457</v>
      </c>
      <c r="E83" s="9">
        <v>2000</v>
      </c>
      <c r="F83" t="b">
        <f>COUNTIF(표5[상품번호],상품!A83) &gt;0</f>
        <v>1</v>
      </c>
      <c r="G83">
        <f>COUNTIF(표4[상품번호],상품!A83)</f>
        <v>0</v>
      </c>
      <c r="H83">
        <f>INDEX(표2[번호],MATCH(LEFT(A83,1),표2[코드],0))</f>
        <v>5</v>
      </c>
      <c r="I83" t="str">
        <f>VLOOKUP(C83,표1[],6,FALSE)</f>
        <v>의창구</v>
      </c>
      <c r="J83" t="str">
        <f>VLOOKUP(C83,표1[],7,FALSE)</f>
        <v>명곡동</v>
      </c>
    </row>
    <row r="84" spans="1:10" x14ac:dyDescent="0.3">
      <c r="A84" s="8" t="s">
        <v>458</v>
      </c>
      <c r="B84" s="8" t="s">
        <v>459</v>
      </c>
      <c r="C84" s="8">
        <v>6</v>
      </c>
      <c r="D84" s="8" t="s">
        <v>460</v>
      </c>
      <c r="E84" s="9">
        <v>1000</v>
      </c>
      <c r="F84" t="b">
        <f>COUNTIF(표5[상품번호],상품!A84) &gt;0</f>
        <v>0</v>
      </c>
      <c r="G84">
        <f>COUNTIF(표4[상품번호],상품!A84)</f>
        <v>0</v>
      </c>
      <c r="H84">
        <f>INDEX(표2[번호],MATCH(LEFT(A84,1),표2[코드],0))</f>
        <v>5</v>
      </c>
      <c r="I84" t="str">
        <f>VLOOKUP(C84,표1[],6,FALSE)</f>
        <v>성산구</v>
      </c>
      <c r="J84" t="str">
        <f>VLOOKUP(C84,표1[],7,FALSE)</f>
        <v>중앙동</v>
      </c>
    </row>
    <row r="85" spans="1:10" x14ac:dyDescent="0.3">
      <c r="A85" s="8" t="s">
        <v>461</v>
      </c>
      <c r="B85" s="8" t="s">
        <v>462</v>
      </c>
      <c r="C85" s="8">
        <v>2</v>
      </c>
      <c r="D85" s="8" t="s">
        <v>463</v>
      </c>
      <c r="E85" s="9">
        <v>1000</v>
      </c>
      <c r="F85" t="b">
        <f>COUNTIF(표5[상품번호],상품!A85) &gt;0</f>
        <v>0</v>
      </c>
      <c r="G85">
        <f>COUNTIF(표4[상품번호],상품!A85)</f>
        <v>0</v>
      </c>
      <c r="H85">
        <f>INDEX(표2[번호],MATCH(LEFT(A85,1),표2[코드],0))</f>
        <v>5</v>
      </c>
      <c r="I85" t="str">
        <f>VLOOKUP(C85,표1[],6,FALSE)</f>
        <v>진해구</v>
      </c>
      <c r="J85" t="str">
        <f>VLOOKUP(C85,표1[],7,FALSE)</f>
        <v>충무동</v>
      </c>
    </row>
    <row r="86" spans="1:10" x14ac:dyDescent="0.3">
      <c r="A86" s="8" t="s">
        <v>464</v>
      </c>
      <c r="B86" s="8" t="s">
        <v>465</v>
      </c>
      <c r="C86" s="8">
        <v>22</v>
      </c>
      <c r="D86" s="8" t="s">
        <v>466</v>
      </c>
      <c r="E86" s="9">
        <v>2000</v>
      </c>
      <c r="F86" t="b">
        <f>COUNTIF(표5[상품번호],상품!A86) &gt;0</f>
        <v>0</v>
      </c>
      <c r="G86">
        <f>COUNTIF(표4[상품번호],상품!A86)</f>
        <v>0</v>
      </c>
      <c r="H86">
        <f>INDEX(표2[번호],MATCH(LEFT(A86,1),표2[코드],0))</f>
        <v>5</v>
      </c>
      <c r="I86" t="str">
        <f>VLOOKUP(C86,표1[],6,FALSE)</f>
        <v>의창구</v>
      </c>
      <c r="J86" t="str">
        <f>VLOOKUP(C86,표1[],7,FALSE)</f>
        <v>용지동</v>
      </c>
    </row>
    <row r="87" spans="1:10" x14ac:dyDescent="0.3">
      <c r="A87" s="8" t="s">
        <v>467</v>
      </c>
      <c r="B87" s="8" t="s">
        <v>468</v>
      </c>
      <c r="C87" s="8">
        <v>21</v>
      </c>
      <c r="D87" s="8" t="s">
        <v>469</v>
      </c>
      <c r="E87" s="9">
        <v>2000</v>
      </c>
      <c r="F87" t="b">
        <f>COUNTIF(표5[상품번호],상품!A87) &gt;0</f>
        <v>0</v>
      </c>
      <c r="G87">
        <f>COUNTIF(표4[상품번호],상품!A87)</f>
        <v>0</v>
      </c>
      <c r="H87">
        <f>INDEX(표2[번호],MATCH(LEFT(A87,1),표2[코드],0))</f>
        <v>5</v>
      </c>
      <c r="I87" t="str">
        <f>VLOOKUP(C87,표1[],6,FALSE)</f>
        <v>성산구</v>
      </c>
      <c r="J87" t="str">
        <f>VLOOKUP(C87,표1[],7,FALSE)</f>
        <v>웅남동</v>
      </c>
    </row>
    <row r="88" spans="1:10" x14ac:dyDescent="0.3">
      <c r="A88" s="8" t="s">
        <v>227</v>
      </c>
      <c r="B88" s="8" t="s">
        <v>470</v>
      </c>
      <c r="C88" s="8">
        <v>12</v>
      </c>
      <c r="D88" s="8" t="s">
        <v>471</v>
      </c>
      <c r="E88" s="9">
        <v>1500</v>
      </c>
      <c r="F88" t="b">
        <f>COUNTIF(표5[상품번호],상품!A88) &gt;0</f>
        <v>0</v>
      </c>
      <c r="G88">
        <f>COUNTIF(표4[상품번호],상품!A88)</f>
        <v>1</v>
      </c>
      <c r="H88">
        <f>INDEX(표2[번호],MATCH(LEFT(A88,1),표2[코드],0))</f>
        <v>5</v>
      </c>
      <c r="I88" t="str">
        <f>VLOOKUP(C88,표1[],6,FALSE)</f>
        <v>진해구</v>
      </c>
      <c r="J88" t="str">
        <f>VLOOKUP(C88,표1[],7,FALSE)</f>
        <v>자은동</v>
      </c>
    </row>
    <row r="89" spans="1:10" x14ac:dyDescent="0.3">
      <c r="A89" s="8" t="s">
        <v>213</v>
      </c>
      <c r="B89" s="8" t="s">
        <v>472</v>
      </c>
      <c r="C89" s="8">
        <v>14</v>
      </c>
      <c r="D89" s="8" t="s">
        <v>473</v>
      </c>
      <c r="E89" s="9">
        <v>3000</v>
      </c>
      <c r="F89" t="b">
        <f>COUNTIF(표5[상품번호],상품!A89) &gt;0</f>
        <v>0</v>
      </c>
      <c r="G89">
        <f>COUNTIF(표4[상품번호],상품!A89)</f>
        <v>1</v>
      </c>
      <c r="H89">
        <f>INDEX(표2[번호],MATCH(LEFT(A89,1),표2[코드],0))</f>
        <v>5</v>
      </c>
      <c r="I89" t="str">
        <f>VLOOKUP(C89,표1[],6,FALSE)</f>
        <v>성산구</v>
      </c>
      <c r="J89" t="str">
        <f>VLOOKUP(C89,표1[],7,FALSE)</f>
        <v>가음정동</v>
      </c>
    </row>
    <row r="90" spans="1:10" x14ac:dyDescent="0.3">
      <c r="A90" s="8" t="s">
        <v>474</v>
      </c>
      <c r="B90" s="8" t="s">
        <v>475</v>
      </c>
      <c r="C90" s="8">
        <v>18</v>
      </c>
      <c r="D90" s="8" t="s">
        <v>476</v>
      </c>
      <c r="E90" s="9">
        <v>1000</v>
      </c>
      <c r="F90" t="b">
        <f>COUNTIF(표5[상품번호],상품!A90) &gt;0</f>
        <v>0</v>
      </c>
      <c r="G90">
        <f>COUNTIF(표4[상품번호],상품!A90)</f>
        <v>0</v>
      </c>
      <c r="H90">
        <f>INDEX(표2[번호],MATCH(LEFT(A90,1),표2[코드],0))</f>
        <v>5</v>
      </c>
      <c r="I90" t="str">
        <f>VLOOKUP(C90,표1[],6,FALSE)</f>
        <v>의창구</v>
      </c>
      <c r="J90" t="str">
        <f>VLOOKUP(C90,표1[],7,FALSE)</f>
        <v>봉림동</v>
      </c>
    </row>
    <row r="91" spans="1:10" x14ac:dyDescent="0.3">
      <c r="A91" s="8" t="s">
        <v>477</v>
      </c>
      <c r="B91" s="8" t="s">
        <v>478</v>
      </c>
      <c r="C91" s="8">
        <v>3</v>
      </c>
      <c r="D91" s="8" t="s">
        <v>479</v>
      </c>
      <c r="E91" s="9">
        <v>1500</v>
      </c>
      <c r="F91" t="b">
        <f>COUNTIF(표5[상품번호],상품!A91) &gt;0</f>
        <v>0</v>
      </c>
      <c r="G91">
        <f>COUNTIF(표4[상품번호],상품!A91)</f>
        <v>0</v>
      </c>
      <c r="H91">
        <f>INDEX(표2[번호],MATCH(LEFT(A91,1),표2[코드],0))</f>
        <v>5</v>
      </c>
      <c r="I91" t="str">
        <f>VLOOKUP(C91,표1[],6,FALSE)</f>
        <v>마산회원구</v>
      </c>
      <c r="J91" t="str">
        <f>VLOOKUP(C91,표1[],7,FALSE)</f>
        <v>석전동</v>
      </c>
    </row>
    <row r="92" spans="1:10" x14ac:dyDescent="0.3">
      <c r="A92" s="8" t="s">
        <v>480</v>
      </c>
      <c r="B92" s="8" t="s">
        <v>481</v>
      </c>
      <c r="C92" s="8">
        <v>10</v>
      </c>
      <c r="D92" s="8" t="s">
        <v>482</v>
      </c>
      <c r="E92" s="9">
        <v>1000</v>
      </c>
      <c r="F92" t="b">
        <f>COUNTIF(표5[상품번호],상품!A92) &gt;0</f>
        <v>0</v>
      </c>
      <c r="G92">
        <f>COUNTIF(표4[상품번호],상품!A92)</f>
        <v>0</v>
      </c>
      <c r="H92">
        <f>INDEX(표2[번호],MATCH(LEFT(A92,1),표2[코드],0))</f>
        <v>5</v>
      </c>
      <c r="I92" t="str">
        <f>VLOOKUP(C92,표1[],6,FALSE)</f>
        <v>성산구</v>
      </c>
      <c r="J92" t="str">
        <f>VLOOKUP(C92,표1[],7,FALSE)</f>
        <v>사파동</v>
      </c>
    </row>
    <row r="93" spans="1:10" x14ac:dyDescent="0.3">
      <c r="A93" s="8" t="s">
        <v>483</v>
      </c>
      <c r="B93" s="8" t="s">
        <v>484</v>
      </c>
      <c r="C93" s="8">
        <v>8</v>
      </c>
      <c r="D93" s="8" t="s">
        <v>485</v>
      </c>
      <c r="E93" s="9">
        <v>1000</v>
      </c>
      <c r="F93" t="b">
        <f>COUNTIF(표5[상품번호],상품!A93) &gt;0</f>
        <v>0</v>
      </c>
      <c r="G93">
        <f>COUNTIF(표4[상품번호],상품!A93)</f>
        <v>0</v>
      </c>
      <c r="H93">
        <f>INDEX(표2[번호],MATCH(LEFT(A93,1),표2[코드],0))</f>
        <v>5</v>
      </c>
      <c r="I93" t="str">
        <f>VLOOKUP(C93,표1[],6,FALSE)</f>
        <v>마산회원구</v>
      </c>
      <c r="J93" t="str">
        <f>VLOOKUP(C93,표1[],7,FALSE)</f>
        <v>회성동</v>
      </c>
    </row>
    <row r="94" spans="1:10" x14ac:dyDescent="0.3">
      <c r="A94" s="8" t="s">
        <v>486</v>
      </c>
      <c r="B94" s="8" t="s">
        <v>487</v>
      </c>
      <c r="C94" s="8">
        <v>5</v>
      </c>
      <c r="D94" s="8" t="s">
        <v>466</v>
      </c>
      <c r="E94" s="9">
        <v>2000</v>
      </c>
      <c r="F94" t="b">
        <f>COUNTIF(표5[상품번호],상품!A94) &gt;0</f>
        <v>1</v>
      </c>
      <c r="G94">
        <f>COUNTIF(표4[상품번호],상품!A94)</f>
        <v>0</v>
      </c>
      <c r="H94">
        <f>INDEX(표2[번호],MATCH(LEFT(A94,1),표2[코드],0))</f>
        <v>5</v>
      </c>
      <c r="I94" t="str">
        <f>VLOOKUP(C94,표1[],6,FALSE)</f>
        <v>의창구</v>
      </c>
      <c r="J94" t="str">
        <f>VLOOKUP(C94,표1[],7,FALSE)</f>
        <v>의창동</v>
      </c>
    </row>
    <row r="95" spans="1:10" x14ac:dyDescent="0.3">
      <c r="A95" s="8" t="s">
        <v>488</v>
      </c>
      <c r="B95" s="8" t="s">
        <v>489</v>
      </c>
      <c r="C95" s="8">
        <v>16</v>
      </c>
      <c r="D95" s="8" t="s">
        <v>490</v>
      </c>
      <c r="E95" s="9">
        <v>3000</v>
      </c>
      <c r="F95" t="b">
        <f>COUNTIF(표5[상품번호],상품!A95) &gt;0</f>
        <v>0</v>
      </c>
      <c r="G95">
        <f>COUNTIF(표4[상품번호],상품!A95)</f>
        <v>0</v>
      </c>
      <c r="H95">
        <f>INDEX(표2[번호],MATCH(LEFT(A95,1),표2[코드],0))</f>
        <v>5</v>
      </c>
      <c r="I95" t="str">
        <f>VLOOKUP(C95,표1[],6,FALSE)</f>
        <v>마산합포구</v>
      </c>
      <c r="J95" t="str">
        <f>VLOOKUP(C95,표1[],7,FALSE)</f>
        <v>교방동</v>
      </c>
    </row>
    <row r="96" spans="1:10" x14ac:dyDescent="0.3">
      <c r="A96" s="8" t="s">
        <v>491</v>
      </c>
      <c r="B96" s="8" t="s">
        <v>492</v>
      </c>
      <c r="C96" s="8">
        <v>25</v>
      </c>
      <c r="D96" s="8" t="s">
        <v>493</v>
      </c>
      <c r="E96" s="9">
        <v>1000</v>
      </c>
      <c r="F96" t="b">
        <f>COUNTIF(표5[상품번호],상품!A96) &gt;0</f>
        <v>0</v>
      </c>
      <c r="G96">
        <f>COUNTIF(표4[상품번호],상품!A96)</f>
        <v>0</v>
      </c>
      <c r="H96">
        <f>INDEX(표2[번호],MATCH(LEFT(A96,1),표2[코드],0))</f>
        <v>5</v>
      </c>
      <c r="I96" t="str">
        <f>VLOOKUP(C96,표1[],6,FALSE)</f>
        <v>마산회원구</v>
      </c>
      <c r="J96" t="str">
        <f>VLOOKUP(C96,표1[],7,FALSE)</f>
        <v>양덕2동</v>
      </c>
    </row>
    <row r="97" spans="1:10" x14ac:dyDescent="0.3">
      <c r="A97" s="8" t="s">
        <v>494</v>
      </c>
      <c r="B97" s="8" t="s">
        <v>495</v>
      </c>
      <c r="C97" s="8">
        <v>23</v>
      </c>
      <c r="D97" s="8" t="s">
        <v>496</v>
      </c>
      <c r="E97" s="9">
        <v>15000</v>
      </c>
      <c r="F97" t="b">
        <f>COUNTIF(표5[상품번호],상품!A97) &gt;0</f>
        <v>0</v>
      </c>
      <c r="G97">
        <f>COUNTIF(표4[상품번호],상품!A97)</f>
        <v>0</v>
      </c>
      <c r="H97">
        <f>INDEX(표2[번호],MATCH(LEFT(A97,1),표2[코드],0))</f>
        <v>5</v>
      </c>
      <c r="I97" t="str">
        <f>VLOOKUP(C97,표1[],6,FALSE)</f>
        <v>진해구</v>
      </c>
      <c r="J97" t="str">
        <f>VLOOKUP(C97,표1[],7,FALSE)</f>
        <v>태평동</v>
      </c>
    </row>
    <row r="98" spans="1:10" x14ac:dyDescent="0.3">
      <c r="A98" s="8" t="s">
        <v>216</v>
      </c>
      <c r="B98" s="8" t="s">
        <v>497</v>
      </c>
      <c r="C98" s="8">
        <v>13</v>
      </c>
      <c r="D98" s="8" t="s">
        <v>498</v>
      </c>
      <c r="E98" s="9">
        <v>3000</v>
      </c>
      <c r="F98" t="b">
        <f>COUNTIF(표5[상품번호],상품!A98) &gt;0</f>
        <v>1</v>
      </c>
      <c r="G98">
        <f>COUNTIF(표4[상품번호],상품!A98)</f>
        <v>1</v>
      </c>
      <c r="H98">
        <f>INDEX(표2[번호],MATCH(LEFT(A98,1),표2[코드],0))</f>
        <v>5</v>
      </c>
      <c r="I98" t="str">
        <f>VLOOKUP(C98,표1[],6,FALSE)</f>
        <v>마산회원구</v>
      </c>
      <c r="J98" t="str">
        <f>VLOOKUP(C98,표1[],7,FALSE)</f>
        <v>봉암동</v>
      </c>
    </row>
    <row r="99" spans="1:10" x14ac:dyDescent="0.3">
      <c r="A99" s="8" t="s">
        <v>499</v>
      </c>
      <c r="B99" s="8" t="s">
        <v>500</v>
      </c>
      <c r="C99" s="8">
        <v>17</v>
      </c>
      <c r="D99" s="8" t="s">
        <v>466</v>
      </c>
      <c r="E99" s="9">
        <v>10000</v>
      </c>
      <c r="F99" t="b">
        <f>COUNTIF(표5[상품번호],상품!A99) &gt;0</f>
        <v>0</v>
      </c>
      <c r="G99">
        <f>COUNTIF(표4[상품번호],상품!A99)</f>
        <v>0</v>
      </c>
      <c r="H99">
        <f>INDEX(표2[번호],MATCH(LEFT(A99,1),표2[코드],0))</f>
        <v>5</v>
      </c>
      <c r="I99" t="str">
        <f>VLOOKUP(C99,표1[],6,FALSE)</f>
        <v>진해구</v>
      </c>
      <c r="J99" t="str">
        <f>VLOOKUP(C99,표1[],7,FALSE)</f>
        <v>덕산동</v>
      </c>
    </row>
    <row r="100" spans="1:10" x14ac:dyDescent="0.3">
      <c r="A100" s="8" t="s">
        <v>501</v>
      </c>
      <c r="B100" s="8" t="s">
        <v>502</v>
      </c>
      <c r="C100" s="8">
        <v>19</v>
      </c>
      <c r="D100" s="8" t="s">
        <v>503</v>
      </c>
      <c r="E100" s="9">
        <v>15000</v>
      </c>
      <c r="F100" t="b">
        <f>COUNTIF(표5[상품번호],상품!A100) &gt;0</f>
        <v>0</v>
      </c>
      <c r="G100">
        <f>COUNTIF(표4[상품번호],상품!A100)</f>
        <v>0</v>
      </c>
      <c r="H100">
        <f>INDEX(표2[번호],MATCH(LEFT(A100,1),표2[코드],0))</f>
        <v>5</v>
      </c>
      <c r="I100" t="str">
        <f>VLOOKUP(C100,표1[],6,FALSE)</f>
        <v>마산회원구</v>
      </c>
      <c r="J100" t="str">
        <f>VLOOKUP(C100,표1[],7,FALSE)</f>
        <v>양덕1동</v>
      </c>
    </row>
    <row r="101" spans="1:10" x14ac:dyDescent="0.3">
      <c r="A101" s="8" t="s">
        <v>504</v>
      </c>
      <c r="B101" s="8" t="s">
        <v>505</v>
      </c>
      <c r="C101" s="8">
        <v>24</v>
      </c>
      <c r="D101" s="8" t="s">
        <v>506</v>
      </c>
      <c r="E101" s="9">
        <v>1000</v>
      </c>
      <c r="F101" t="b">
        <f>COUNTIF(표5[상품번호],상품!A101) &gt;0</f>
        <v>0</v>
      </c>
      <c r="G101">
        <f>COUNTIF(표4[상품번호],상품!A101)</f>
        <v>0</v>
      </c>
      <c r="H101">
        <f>INDEX(표2[번호],MATCH(LEFT(A101,1),표2[코드],0))</f>
        <v>5</v>
      </c>
      <c r="I101" t="str">
        <f>VLOOKUP(C101,표1[],6,FALSE)</f>
        <v>마산합포구</v>
      </c>
      <c r="J101" t="str">
        <f>VLOOKUP(C101,표1[],7,FALSE)</f>
        <v>합포동</v>
      </c>
    </row>
    <row r="102" spans="1:10" x14ac:dyDescent="0.3">
      <c r="A102" s="8" t="s">
        <v>193</v>
      </c>
      <c r="B102" s="8" t="s">
        <v>507</v>
      </c>
      <c r="C102" s="8">
        <v>10</v>
      </c>
      <c r="D102" s="8" t="s">
        <v>508</v>
      </c>
      <c r="E102" s="9">
        <v>5000</v>
      </c>
      <c r="F102" t="b">
        <f>COUNTIF(표5[상품번호],상품!A102) &gt;0</f>
        <v>1</v>
      </c>
      <c r="G102">
        <f>COUNTIF(표4[상품번호],상품!A102)</f>
        <v>4</v>
      </c>
      <c r="H102">
        <f>INDEX(표2[번호],MATCH(LEFT(A102,1),표2[코드],0))</f>
        <v>6</v>
      </c>
      <c r="I102" t="str">
        <f>VLOOKUP(C102,표1[],6,FALSE)</f>
        <v>성산구</v>
      </c>
      <c r="J102" t="str">
        <f>VLOOKUP(C102,표1[],7,FALSE)</f>
        <v>사파동</v>
      </c>
    </row>
    <row r="103" spans="1:10" x14ac:dyDescent="0.3">
      <c r="A103" s="8" t="s">
        <v>509</v>
      </c>
      <c r="B103" s="8" t="s">
        <v>510</v>
      </c>
      <c r="C103" s="8">
        <v>8</v>
      </c>
      <c r="D103" s="8" t="s">
        <v>511</v>
      </c>
      <c r="E103" s="9">
        <v>4000</v>
      </c>
      <c r="F103" t="b">
        <f>COUNTIF(표5[상품번호],상품!A103) &gt;0</f>
        <v>0</v>
      </c>
      <c r="G103">
        <f>COUNTIF(표4[상품번호],상품!A103)</f>
        <v>0</v>
      </c>
      <c r="H103">
        <f>INDEX(표2[번호],MATCH(LEFT(A103,1),표2[코드],0))</f>
        <v>6</v>
      </c>
      <c r="I103" t="str">
        <f>VLOOKUP(C103,표1[],6,FALSE)</f>
        <v>마산회원구</v>
      </c>
      <c r="J103" t="str">
        <f>VLOOKUP(C103,표1[],7,FALSE)</f>
        <v>회성동</v>
      </c>
    </row>
    <row r="104" spans="1:10" x14ac:dyDescent="0.3">
      <c r="A104" s="8" t="s">
        <v>512</v>
      </c>
      <c r="B104" s="8" t="s">
        <v>513</v>
      </c>
      <c r="C104" s="8">
        <v>5</v>
      </c>
      <c r="D104" s="8" t="s">
        <v>514</v>
      </c>
      <c r="E104" s="9">
        <v>2000</v>
      </c>
      <c r="F104" t="b">
        <f>COUNTIF(표5[상품번호],상품!A104) &gt;0</f>
        <v>0</v>
      </c>
      <c r="G104">
        <f>COUNTIF(표4[상품번호],상품!A104)</f>
        <v>0</v>
      </c>
      <c r="H104">
        <f>INDEX(표2[번호],MATCH(LEFT(A104,1),표2[코드],0))</f>
        <v>6</v>
      </c>
      <c r="I104" t="str">
        <f>VLOOKUP(C104,표1[],6,FALSE)</f>
        <v>의창구</v>
      </c>
      <c r="J104" t="str">
        <f>VLOOKUP(C104,표1[],7,FALSE)</f>
        <v>의창동</v>
      </c>
    </row>
    <row r="105" spans="1:10" x14ac:dyDescent="0.3">
      <c r="A105" s="8" t="s">
        <v>515</v>
      </c>
      <c r="B105" s="8" t="s">
        <v>516</v>
      </c>
      <c r="C105" s="8">
        <v>16</v>
      </c>
      <c r="D105" s="8" t="s">
        <v>517</v>
      </c>
      <c r="E105" s="9">
        <v>1000</v>
      </c>
      <c r="F105" t="b">
        <f>COUNTIF(표5[상품번호],상품!A105) &gt;0</f>
        <v>0</v>
      </c>
      <c r="G105">
        <f>COUNTIF(표4[상품번호],상품!A105)</f>
        <v>0</v>
      </c>
      <c r="H105">
        <f>INDEX(표2[번호],MATCH(LEFT(A105,1),표2[코드],0))</f>
        <v>6</v>
      </c>
      <c r="I105" t="str">
        <f>VLOOKUP(C105,표1[],6,FALSE)</f>
        <v>마산합포구</v>
      </c>
      <c r="J105" t="str">
        <f>VLOOKUP(C105,표1[],7,FALSE)</f>
        <v>교방동</v>
      </c>
    </row>
    <row r="106" spans="1:10" x14ac:dyDescent="0.3">
      <c r="A106" s="8" t="s">
        <v>518</v>
      </c>
      <c r="B106" s="8" t="s">
        <v>519</v>
      </c>
      <c r="C106" s="8">
        <v>25</v>
      </c>
      <c r="D106" s="8" t="s">
        <v>520</v>
      </c>
      <c r="E106" s="9">
        <v>3000</v>
      </c>
      <c r="F106" t="b">
        <f>COUNTIF(표5[상품번호],상품!A106) &gt;0</f>
        <v>0</v>
      </c>
      <c r="G106">
        <f>COUNTIF(표4[상품번호],상품!A106)</f>
        <v>0</v>
      </c>
      <c r="H106">
        <f>INDEX(표2[번호],MATCH(LEFT(A106,1),표2[코드],0))</f>
        <v>6</v>
      </c>
      <c r="I106" t="str">
        <f>VLOOKUP(C106,표1[],6,FALSE)</f>
        <v>마산회원구</v>
      </c>
      <c r="J106" t="str">
        <f>VLOOKUP(C106,표1[],7,FALSE)</f>
        <v>양덕2동</v>
      </c>
    </row>
    <row r="107" spans="1:10" x14ac:dyDescent="0.3">
      <c r="A107" s="8" t="s">
        <v>195</v>
      </c>
      <c r="B107" s="8" t="s">
        <v>521</v>
      </c>
      <c r="C107" s="8">
        <v>23</v>
      </c>
      <c r="D107" s="8" t="s">
        <v>522</v>
      </c>
      <c r="E107" s="9">
        <v>5000</v>
      </c>
      <c r="F107" t="b">
        <f>COUNTIF(표5[상품번호],상품!A107) &gt;0</f>
        <v>0</v>
      </c>
      <c r="G107">
        <f>COUNTIF(표4[상품번호],상품!A107)</f>
        <v>1</v>
      </c>
      <c r="H107">
        <f>INDEX(표2[번호],MATCH(LEFT(A107,1),표2[코드],0))</f>
        <v>6</v>
      </c>
      <c r="I107" t="str">
        <f>VLOOKUP(C107,표1[],6,FALSE)</f>
        <v>진해구</v>
      </c>
      <c r="J107" t="str">
        <f>VLOOKUP(C107,표1[],7,FALSE)</f>
        <v>태평동</v>
      </c>
    </row>
    <row r="108" spans="1:10" x14ac:dyDescent="0.3">
      <c r="A108" s="8" t="s">
        <v>523</v>
      </c>
      <c r="B108" s="8" t="s">
        <v>524</v>
      </c>
      <c r="C108" s="8">
        <v>13</v>
      </c>
      <c r="D108" s="8" t="s">
        <v>366</v>
      </c>
      <c r="E108" s="9">
        <v>4000</v>
      </c>
      <c r="F108" t="b">
        <f>COUNTIF(표5[상품번호],상품!A108) &gt;0</f>
        <v>0</v>
      </c>
      <c r="G108">
        <f>COUNTIF(표4[상품번호],상품!A108)</f>
        <v>0</v>
      </c>
      <c r="H108">
        <f>INDEX(표2[번호],MATCH(LEFT(A108,1),표2[코드],0))</f>
        <v>6</v>
      </c>
      <c r="I108" t="str">
        <f>VLOOKUP(C108,표1[],6,FALSE)</f>
        <v>마산회원구</v>
      </c>
      <c r="J108" t="str">
        <f>VLOOKUP(C108,표1[],7,FALSE)</f>
        <v>봉암동</v>
      </c>
    </row>
    <row r="109" spans="1:10" x14ac:dyDescent="0.3">
      <c r="A109" s="8" t="s">
        <v>211</v>
      </c>
      <c r="B109" s="8" t="s">
        <v>525</v>
      </c>
      <c r="C109" s="8">
        <v>17</v>
      </c>
      <c r="D109" s="8" t="s">
        <v>526</v>
      </c>
      <c r="E109" s="9">
        <v>3000</v>
      </c>
      <c r="F109" t="b">
        <f>COUNTIF(표5[상품번호],상품!A109) &gt;0</f>
        <v>1</v>
      </c>
      <c r="G109">
        <f>COUNTIF(표4[상품번호],상품!A109)</f>
        <v>1</v>
      </c>
      <c r="H109">
        <f>INDEX(표2[번호],MATCH(LEFT(A109,1),표2[코드],0))</f>
        <v>6</v>
      </c>
      <c r="I109" t="str">
        <f>VLOOKUP(C109,표1[],6,FALSE)</f>
        <v>진해구</v>
      </c>
      <c r="J109" t="str">
        <f>VLOOKUP(C109,표1[],7,FALSE)</f>
        <v>덕산동</v>
      </c>
    </row>
    <row r="110" spans="1:10" x14ac:dyDescent="0.3">
      <c r="A110" s="8" t="s">
        <v>527</v>
      </c>
      <c r="B110" s="8" t="s">
        <v>528</v>
      </c>
      <c r="C110" s="8">
        <v>19</v>
      </c>
      <c r="D110" s="8" t="s">
        <v>529</v>
      </c>
      <c r="E110" s="9">
        <v>2000</v>
      </c>
      <c r="F110" t="b">
        <f>COUNTIF(표5[상품번호],상품!A110) &gt;0</f>
        <v>1</v>
      </c>
      <c r="G110">
        <f>COUNTIF(표4[상품번호],상품!A110)</f>
        <v>0</v>
      </c>
      <c r="H110">
        <f>INDEX(표2[번호],MATCH(LEFT(A110,1),표2[코드],0))</f>
        <v>6</v>
      </c>
      <c r="I110" t="str">
        <f>VLOOKUP(C110,표1[],6,FALSE)</f>
        <v>마산회원구</v>
      </c>
      <c r="J110" t="str">
        <f>VLOOKUP(C110,표1[],7,FALSE)</f>
        <v>양덕1동</v>
      </c>
    </row>
    <row r="111" spans="1:10" x14ac:dyDescent="0.3">
      <c r="A111" s="8" t="s">
        <v>530</v>
      </c>
      <c r="B111" s="8" t="s">
        <v>531</v>
      </c>
      <c r="C111" s="8">
        <v>24</v>
      </c>
      <c r="D111" s="8" t="s">
        <v>532</v>
      </c>
      <c r="E111" s="9">
        <v>1000</v>
      </c>
      <c r="F111" t="b">
        <f>COUNTIF(표5[상품번호],상품!A111) &gt;0</f>
        <v>0</v>
      </c>
      <c r="G111">
        <f>COUNTIF(표4[상품번호],상품!A111)</f>
        <v>0</v>
      </c>
      <c r="H111">
        <f>INDEX(표2[번호],MATCH(LEFT(A111,1),표2[코드],0))</f>
        <v>6</v>
      </c>
      <c r="I111" t="str">
        <f>VLOOKUP(C111,표1[],6,FALSE)</f>
        <v>마산합포구</v>
      </c>
      <c r="J111" t="str">
        <f>VLOOKUP(C111,표1[],7,FALSE)</f>
        <v>합포동</v>
      </c>
    </row>
    <row r="112" spans="1:10" x14ac:dyDescent="0.3">
      <c r="A112" s="8" t="s">
        <v>533</v>
      </c>
      <c r="B112" s="8" t="s">
        <v>534</v>
      </c>
      <c r="C112" s="8">
        <v>1</v>
      </c>
      <c r="D112" s="8" t="s">
        <v>535</v>
      </c>
      <c r="E112" s="9">
        <v>5000</v>
      </c>
      <c r="F112" t="b">
        <f>COUNTIF(표5[상품번호],상품!A112) &gt;0</f>
        <v>0</v>
      </c>
      <c r="G112">
        <f>COUNTIF(표4[상품번호],상품!A112)</f>
        <v>0</v>
      </c>
      <c r="H112">
        <f>INDEX(표2[번호],MATCH(LEFT(A112,1),표2[코드],0))</f>
        <v>6</v>
      </c>
      <c r="I112" t="str">
        <f>VLOOKUP(C112,표1[],6,FALSE)</f>
        <v>성산구</v>
      </c>
      <c r="J112" t="str">
        <f>VLOOKUP(C112,표1[],7,FALSE)</f>
        <v>중앙동</v>
      </c>
    </row>
    <row r="113" spans="1:10" x14ac:dyDescent="0.3">
      <c r="A113" s="8" t="s">
        <v>536</v>
      </c>
      <c r="B113" s="8" t="s">
        <v>537</v>
      </c>
      <c r="C113" s="8">
        <v>9</v>
      </c>
      <c r="D113" s="8" t="s">
        <v>538</v>
      </c>
      <c r="E113" s="9">
        <v>5000</v>
      </c>
      <c r="F113" t="b">
        <f>COUNTIF(표5[상품번호],상품!A113) &gt;0</f>
        <v>0</v>
      </c>
      <c r="G113">
        <f>COUNTIF(표4[상품번호],상품!A113)</f>
        <v>0</v>
      </c>
      <c r="H113">
        <f>INDEX(표2[번호],MATCH(LEFT(A113,1),표2[코드],0))</f>
        <v>6</v>
      </c>
      <c r="I113" t="str">
        <f>VLOOKUP(C113,표1[],6,FALSE)</f>
        <v>마산합포구</v>
      </c>
      <c r="J113" t="str">
        <f>VLOOKUP(C113,표1[],7,FALSE)</f>
        <v>월영동</v>
      </c>
    </row>
    <row r="114" spans="1:10" x14ac:dyDescent="0.3">
      <c r="A114" s="8" t="s">
        <v>539</v>
      </c>
      <c r="B114" s="8" t="s">
        <v>540</v>
      </c>
      <c r="C114" s="8">
        <v>11</v>
      </c>
      <c r="D114" s="8" t="s">
        <v>541</v>
      </c>
      <c r="E114" s="9">
        <v>4000</v>
      </c>
      <c r="F114" t="b">
        <f>COUNTIF(표5[상품번호],상품!A114) &gt;0</f>
        <v>0</v>
      </c>
      <c r="G114">
        <f>COUNTIF(표4[상품번호],상품!A114)</f>
        <v>0</v>
      </c>
      <c r="H114">
        <f>INDEX(표2[번호],MATCH(LEFT(A114,1),표2[코드],0))</f>
        <v>6</v>
      </c>
      <c r="I114" t="str">
        <f>VLOOKUP(C114,표1[],6,FALSE)</f>
        <v>의창구</v>
      </c>
      <c r="J114" t="str">
        <f>VLOOKUP(C114,표1[],7,FALSE)</f>
        <v>팔룡동</v>
      </c>
    </row>
    <row r="115" spans="1:10" x14ac:dyDescent="0.3">
      <c r="A115" s="8" t="s">
        <v>542</v>
      </c>
      <c r="B115" s="8" t="s">
        <v>543</v>
      </c>
      <c r="C115" s="8">
        <v>4</v>
      </c>
      <c r="D115" s="8" t="s">
        <v>544</v>
      </c>
      <c r="E115" s="9">
        <v>1000</v>
      </c>
      <c r="F115" t="b">
        <f>COUNTIF(표5[상품번호],상품!A115) &gt;0</f>
        <v>0</v>
      </c>
      <c r="G115">
        <f>COUNTIF(표4[상품번호],상품!A115)</f>
        <v>0</v>
      </c>
      <c r="H115">
        <f>INDEX(표2[번호],MATCH(LEFT(A115,1),표2[코드],0))</f>
        <v>6</v>
      </c>
      <c r="I115" t="str">
        <f>VLOOKUP(C115,표1[],6,FALSE)</f>
        <v>마산합포구</v>
      </c>
      <c r="J115" t="str">
        <f>VLOOKUP(C115,표1[],7,FALSE)</f>
        <v>현동</v>
      </c>
    </row>
    <row r="116" spans="1:10" x14ac:dyDescent="0.3">
      <c r="A116" s="8" t="s">
        <v>545</v>
      </c>
      <c r="B116" s="8" t="s">
        <v>546</v>
      </c>
      <c r="C116" s="8">
        <v>7</v>
      </c>
      <c r="D116" s="8" t="s">
        <v>547</v>
      </c>
      <c r="E116" s="9">
        <v>3000</v>
      </c>
      <c r="F116" t="b">
        <f>COUNTIF(표5[상품번호],상품!A116) &gt;0</f>
        <v>0</v>
      </c>
      <c r="G116">
        <f>COUNTIF(표4[상품번호],상품!A116)</f>
        <v>0</v>
      </c>
      <c r="H116">
        <f>INDEX(표2[번호],MATCH(LEFT(A116,1),표2[코드],0))</f>
        <v>6</v>
      </c>
      <c r="I116" t="str">
        <f>VLOOKUP(C116,표1[],6,FALSE)</f>
        <v>진해구</v>
      </c>
      <c r="J116" t="str">
        <f>VLOOKUP(C116,표1[],7,FALSE)</f>
        <v>경화동</v>
      </c>
    </row>
    <row r="117" spans="1:10" x14ac:dyDescent="0.3">
      <c r="A117" s="8" t="s">
        <v>548</v>
      </c>
      <c r="B117" s="8" t="s">
        <v>549</v>
      </c>
      <c r="C117" s="8">
        <v>20</v>
      </c>
      <c r="D117" s="8" t="s">
        <v>550</v>
      </c>
      <c r="E117" s="9">
        <v>3000</v>
      </c>
      <c r="F117" t="b">
        <f>COUNTIF(표5[상품번호],상품!A117) &gt;0</f>
        <v>0</v>
      </c>
      <c r="G117">
        <f>COUNTIF(표4[상품번호],상품!A117)</f>
        <v>0</v>
      </c>
      <c r="H117">
        <f>INDEX(표2[번호],MATCH(LEFT(A117,1),표2[코드],0))</f>
        <v>6</v>
      </c>
      <c r="I117" t="str">
        <f>VLOOKUP(C117,표1[],6,FALSE)</f>
        <v>마산합포구</v>
      </c>
      <c r="J117" t="str">
        <f>VLOOKUP(C117,표1[],7,FALSE)</f>
        <v>간호동</v>
      </c>
    </row>
    <row r="118" spans="1:10" x14ac:dyDescent="0.3">
      <c r="A118" s="8" t="s">
        <v>551</v>
      </c>
      <c r="B118" s="8" t="s">
        <v>552</v>
      </c>
      <c r="C118" s="8">
        <v>15</v>
      </c>
      <c r="D118" s="8" t="s">
        <v>553</v>
      </c>
      <c r="E118" s="9">
        <v>2000</v>
      </c>
      <c r="F118" t="b">
        <f>COUNTIF(표5[상품번호],상품!A118) &gt;0</f>
        <v>0</v>
      </c>
      <c r="G118">
        <f>COUNTIF(표4[상품번호],상품!A118)</f>
        <v>0</v>
      </c>
      <c r="H118">
        <f>INDEX(표2[번호],MATCH(LEFT(A118,1),표2[코드],0))</f>
        <v>6</v>
      </c>
      <c r="I118" t="str">
        <f>VLOOKUP(C118,표1[],6,FALSE)</f>
        <v>의창구</v>
      </c>
      <c r="J118" t="str">
        <f>VLOOKUP(C118,표1[],7,FALSE)</f>
        <v>명곡동</v>
      </c>
    </row>
    <row r="119" spans="1:10" x14ac:dyDescent="0.3">
      <c r="A119" s="8" t="s">
        <v>225</v>
      </c>
      <c r="B119" s="8" t="s">
        <v>554</v>
      </c>
      <c r="C119" s="8">
        <v>6</v>
      </c>
      <c r="D119" s="8" t="s">
        <v>555</v>
      </c>
      <c r="E119" s="9">
        <v>2000</v>
      </c>
      <c r="F119" t="b">
        <f>COUNTIF(표5[상품번호],상품!A119) &gt;0</f>
        <v>0</v>
      </c>
      <c r="G119">
        <f>COUNTIF(표4[상품번호],상품!A119)</f>
        <v>1</v>
      </c>
      <c r="H119">
        <f>INDEX(표2[번호],MATCH(LEFT(A119,1),표2[코드],0))</f>
        <v>6</v>
      </c>
      <c r="I119" t="str">
        <f>VLOOKUP(C119,표1[],6,FALSE)</f>
        <v>성산구</v>
      </c>
      <c r="J119" t="str">
        <f>VLOOKUP(C119,표1[],7,FALSE)</f>
        <v>중앙동</v>
      </c>
    </row>
    <row r="120" spans="1:10" x14ac:dyDescent="0.3">
      <c r="A120" s="8" t="s">
        <v>556</v>
      </c>
      <c r="B120" s="8" t="s">
        <v>557</v>
      </c>
      <c r="C120" s="8">
        <v>2</v>
      </c>
      <c r="D120" s="8" t="s">
        <v>558</v>
      </c>
      <c r="E120" s="9">
        <v>1000</v>
      </c>
      <c r="F120" t="b">
        <f>COUNTIF(표5[상품번호],상품!A120) &gt;0</f>
        <v>1</v>
      </c>
      <c r="G120">
        <f>COUNTIF(표4[상품번호],상품!A120)</f>
        <v>0</v>
      </c>
      <c r="H120">
        <f>INDEX(표2[번호],MATCH(LEFT(A120,1),표2[코드],0))</f>
        <v>6</v>
      </c>
      <c r="I120" t="str">
        <f>VLOOKUP(C120,표1[],6,FALSE)</f>
        <v>진해구</v>
      </c>
      <c r="J120" t="str">
        <f>VLOOKUP(C120,표1[],7,FALSE)</f>
        <v>충무동</v>
      </c>
    </row>
    <row r="121" spans="1:10" x14ac:dyDescent="0.3">
      <c r="A121" s="8" t="s">
        <v>559</v>
      </c>
      <c r="B121" s="8" t="s">
        <v>560</v>
      </c>
      <c r="C121" s="8">
        <v>22</v>
      </c>
      <c r="D121" s="8" t="s">
        <v>561</v>
      </c>
      <c r="E121" s="9">
        <v>2000</v>
      </c>
      <c r="F121" t="b">
        <f>COUNTIF(표5[상품번호],상품!A121) &gt;0</f>
        <v>0</v>
      </c>
      <c r="G121">
        <f>COUNTIF(표4[상품번호],상품!A121)</f>
        <v>0</v>
      </c>
      <c r="H121">
        <f>INDEX(표2[번호],MATCH(LEFT(A121,1),표2[코드],0))</f>
        <v>6</v>
      </c>
      <c r="I121" t="str">
        <f>VLOOKUP(C121,표1[],6,FALSE)</f>
        <v>의창구</v>
      </c>
      <c r="J121" t="str">
        <f>VLOOKUP(C121,표1[],7,FALSE)</f>
        <v>용지동</v>
      </c>
    </row>
    <row r="122" spans="1:10" x14ac:dyDescent="0.3">
      <c r="A122" s="8" t="s">
        <v>562</v>
      </c>
      <c r="B122" s="8" t="s">
        <v>563</v>
      </c>
      <c r="C122" s="8">
        <v>21</v>
      </c>
      <c r="D122" s="8" t="s">
        <v>564</v>
      </c>
      <c r="E122" s="9">
        <v>10000</v>
      </c>
      <c r="F122" t="b">
        <f>COUNTIF(표5[상품번호],상품!A122) &gt;0</f>
        <v>0</v>
      </c>
      <c r="G122">
        <f>COUNTIF(표4[상품번호],상품!A122)</f>
        <v>0</v>
      </c>
      <c r="H122">
        <f>INDEX(표2[번호],MATCH(LEFT(A122,1),표2[코드],0))</f>
        <v>7</v>
      </c>
      <c r="I122" t="str">
        <f>VLOOKUP(C122,표1[],6,FALSE)</f>
        <v>성산구</v>
      </c>
      <c r="J122" t="str">
        <f>VLOOKUP(C122,표1[],7,FALSE)</f>
        <v>웅남동</v>
      </c>
    </row>
    <row r="123" spans="1:10" x14ac:dyDescent="0.3">
      <c r="A123" s="8" t="s">
        <v>565</v>
      </c>
      <c r="B123" s="8" t="s">
        <v>566</v>
      </c>
      <c r="C123" s="8">
        <v>12</v>
      </c>
      <c r="D123" s="8" t="s">
        <v>567</v>
      </c>
      <c r="E123" s="9">
        <v>9000</v>
      </c>
      <c r="F123" t="b">
        <f>COUNTIF(표5[상품번호],상품!A123) &gt;0</f>
        <v>0</v>
      </c>
      <c r="G123">
        <f>COUNTIF(표4[상품번호],상품!A123)</f>
        <v>0</v>
      </c>
      <c r="H123">
        <f>INDEX(표2[번호],MATCH(LEFT(A123,1),표2[코드],0))</f>
        <v>7</v>
      </c>
      <c r="I123" t="str">
        <f>VLOOKUP(C123,표1[],6,FALSE)</f>
        <v>진해구</v>
      </c>
      <c r="J123" t="str">
        <f>VLOOKUP(C123,표1[],7,FALSE)</f>
        <v>자은동</v>
      </c>
    </row>
    <row r="124" spans="1:10" x14ac:dyDescent="0.3">
      <c r="A124" s="8" t="s">
        <v>568</v>
      </c>
      <c r="B124" s="8" t="s">
        <v>569</v>
      </c>
      <c r="C124" s="8">
        <v>14</v>
      </c>
      <c r="D124" s="8" t="s">
        <v>570</v>
      </c>
      <c r="E124" s="9">
        <v>12000</v>
      </c>
      <c r="F124" t="b">
        <f>COUNTIF(표5[상품번호],상품!A124) &gt;0</f>
        <v>0</v>
      </c>
      <c r="G124">
        <f>COUNTIF(표4[상품번호],상품!A124)</f>
        <v>0</v>
      </c>
      <c r="H124">
        <f>INDEX(표2[번호],MATCH(LEFT(A124,1),표2[코드],0))</f>
        <v>7</v>
      </c>
      <c r="I124" t="str">
        <f>VLOOKUP(C124,표1[],6,FALSE)</f>
        <v>성산구</v>
      </c>
      <c r="J124" t="str">
        <f>VLOOKUP(C124,표1[],7,FALSE)</f>
        <v>가음정동</v>
      </c>
    </row>
    <row r="125" spans="1:10" x14ac:dyDescent="0.3">
      <c r="A125" s="8" t="s">
        <v>571</v>
      </c>
      <c r="B125" s="8" t="s">
        <v>572</v>
      </c>
      <c r="C125" s="8">
        <v>18</v>
      </c>
      <c r="D125" s="8" t="s">
        <v>573</v>
      </c>
      <c r="E125" s="9">
        <v>15000</v>
      </c>
      <c r="F125" t="b">
        <f>COUNTIF(표5[상품번호],상품!A125) &gt;0</f>
        <v>0</v>
      </c>
      <c r="G125">
        <f>COUNTIF(표4[상품번호],상품!A125)</f>
        <v>0</v>
      </c>
      <c r="H125">
        <f>INDEX(표2[번호],MATCH(LEFT(A125,1),표2[코드],0))</f>
        <v>7</v>
      </c>
      <c r="I125" t="str">
        <f>VLOOKUP(C125,표1[],6,FALSE)</f>
        <v>의창구</v>
      </c>
      <c r="J125" t="str">
        <f>VLOOKUP(C125,표1[],7,FALSE)</f>
        <v>봉림동</v>
      </c>
    </row>
    <row r="126" spans="1:10" x14ac:dyDescent="0.3">
      <c r="A126" s="8" t="s">
        <v>574</v>
      </c>
      <c r="B126" s="8" t="s">
        <v>575</v>
      </c>
      <c r="C126" s="8">
        <v>3</v>
      </c>
      <c r="D126" s="8" t="s">
        <v>576</v>
      </c>
      <c r="E126" s="9">
        <v>8000</v>
      </c>
      <c r="F126" t="b">
        <f>COUNTIF(표5[상품번호],상품!A126) &gt;0</f>
        <v>0</v>
      </c>
      <c r="G126">
        <f>COUNTIF(표4[상품번호],상품!A126)</f>
        <v>0</v>
      </c>
      <c r="H126">
        <f>INDEX(표2[번호],MATCH(LEFT(A126,1),표2[코드],0))</f>
        <v>7</v>
      </c>
      <c r="I126" t="str">
        <f>VLOOKUP(C126,표1[],6,FALSE)</f>
        <v>마산회원구</v>
      </c>
      <c r="J126" t="str">
        <f>VLOOKUP(C126,표1[],7,FALSE)</f>
        <v>석전동</v>
      </c>
    </row>
    <row r="127" spans="1:10" x14ac:dyDescent="0.3">
      <c r="A127" s="8" t="s">
        <v>577</v>
      </c>
      <c r="B127" s="8" t="s">
        <v>578</v>
      </c>
      <c r="C127" s="8">
        <v>10</v>
      </c>
      <c r="D127" s="8" t="s">
        <v>579</v>
      </c>
      <c r="E127" s="9">
        <v>8000</v>
      </c>
      <c r="F127" t="b">
        <f>COUNTIF(표5[상품번호],상품!A127) &gt;0</f>
        <v>0</v>
      </c>
      <c r="G127">
        <f>COUNTIF(표4[상품번호],상품!A127)</f>
        <v>0</v>
      </c>
      <c r="H127">
        <f>INDEX(표2[번호],MATCH(LEFT(A127,1),표2[코드],0))</f>
        <v>7</v>
      </c>
      <c r="I127" t="str">
        <f>VLOOKUP(C127,표1[],6,FALSE)</f>
        <v>성산구</v>
      </c>
      <c r="J127" t="str">
        <f>VLOOKUP(C127,표1[],7,FALSE)</f>
        <v>사파동</v>
      </c>
    </row>
    <row r="128" spans="1:10" x14ac:dyDescent="0.3">
      <c r="A128" s="8" t="s">
        <v>580</v>
      </c>
      <c r="B128" s="8" t="s">
        <v>581</v>
      </c>
      <c r="C128" s="8">
        <v>8</v>
      </c>
      <c r="D128" s="8" t="s">
        <v>582</v>
      </c>
      <c r="E128" s="9">
        <v>9000</v>
      </c>
      <c r="F128" t="b">
        <f>COUNTIF(표5[상품번호],상품!A128) &gt;0</f>
        <v>1</v>
      </c>
      <c r="G128">
        <f>COUNTIF(표4[상품번호],상품!A128)</f>
        <v>0</v>
      </c>
      <c r="H128">
        <f>INDEX(표2[번호],MATCH(LEFT(A128,1),표2[코드],0))</f>
        <v>7</v>
      </c>
      <c r="I128" t="str">
        <f>VLOOKUP(C128,표1[],6,FALSE)</f>
        <v>마산회원구</v>
      </c>
      <c r="J128" t="str">
        <f>VLOOKUP(C128,표1[],7,FALSE)</f>
        <v>회성동</v>
      </c>
    </row>
    <row r="129" spans="1:10" x14ac:dyDescent="0.3">
      <c r="A129" s="8" t="s">
        <v>583</v>
      </c>
      <c r="B129" s="8" t="s">
        <v>584</v>
      </c>
      <c r="C129" s="8">
        <v>5</v>
      </c>
      <c r="D129" s="8" t="s">
        <v>585</v>
      </c>
      <c r="E129" s="9">
        <v>12000</v>
      </c>
      <c r="F129" t="b">
        <f>COUNTIF(표5[상품번호],상품!A129) &gt;0</f>
        <v>1</v>
      </c>
      <c r="G129">
        <f>COUNTIF(표4[상품번호],상품!A129)</f>
        <v>0</v>
      </c>
      <c r="H129">
        <f>INDEX(표2[번호],MATCH(LEFT(A129,1),표2[코드],0))</f>
        <v>7</v>
      </c>
      <c r="I129" t="str">
        <f>VLOOKUP(C129,표1[],6,FALSE)</f>
        <v>의창구</v>
      </c>
      <c r="J129" t="str">
        <f>VLOOKUP(C129,표1[],7,FALSE)</f>
        <v>의창동</v>
      </c>
    </row>
    <row r="130" spans="1:10" x14ac:dyDescent="0.3">
      <c r="A130" s="8" t="s">
        <v>586</v>
      </c>
      <c r="B130" s="8" t="s">
        <v>587</v>
      </c>
      <c r="C130" s="8">
        <v>16</v>
      </c>
      <c r="D130" s="8" t="s">
        <v>588</v>
      </c>
      <c r="E130" s="9">
        <v>9000</v>
      </c>
      <c r="F130" t="b">
        <f>COUNTIF(표5[상품번호],상품!A130) &gt;0</f>
        <v>0</v>
      </c>
      <c r="G130">
        <f>COUNTIF(표4[상품번호],상품!A130)</f>
        <v>0</v>
      </c>
      <c r="H130">
        <f>INDEX(표2[번호],MATCH(LEFT(A130,1),표2[코드],0))</f>
        <v>7</v>
      </c>
      <c r="I130" t="str">
        <f>VLOOKUP(C130,표1[],6,FALSE)</f>
        <v>마산합포구</v>
      </c>
      <c r="J130" t="str">
        <f>VLOOKUP(C130,표1[],7,FALSE)</f>
        <v>교방동</v>
      </c>
    </row>
    <row r="131" spans="1:10" x14ac:dyDescent="0.3">
      <c r="A131" s="8" t="s">
        <v>589</v>
      </c>
      <c r="B131" s="8" t="s">
        <v>590</v>
      </c>
      <c r="C131" s="8">
        <v>25</v>
      </c>
      <c r="D131" s="8" t="s">
        <v>591</v>
      </c>
      <c r="E131" s="9">
        <v>9000</v>
      </c>
      <c r="F131" t="b">
        <f>COUNTIF(표5[상품번호],상품!A131) &gt;0</f>
        <v>0</v>
      </c>
      <c r="G131">
        <f>COUNTIF(표4[상품번호],상품!A131)</f>
        <v>0</v>
      </c>
      <c r="H131">
        <f>INDEX(표2[번호],MATCH(LEFT(A131,1),표2[코드],0))</f>
        <v>7</v>
      </c>
      <c r="I131" t="str">
        <f>VLOOKUP(C131,표1[],6,FALSE)</f>
        <v>마산회원구</v>
      </c>
      <c r="J131" t="str">
        <f>VLOOKUP(C131,표1[],7,FALSE)</f>
        <v>양덕2동</v>
      </c>
    </row>
    <row r="132" spans="1:10" x14ac:dyDescent="0.3">
      <c r="A132" s="8" t="s">
        <v>196</v>
      </c>
      <c r="B132" s="8" t="s">
        <v>592</v>
      </c>
      <c r="C132" s="8">
        <v>23</v>
      </c>
      <c r="D132" s="8" t="s">
        <v>593</v>
      </c>
      <c r="E132" s="9">
        <v>15000</v>
      </c>
      <c r="F132" t="b">
        <f>COUNTIF(표5[상품번호],상품!A132) &gt;0</f>
        <v>1</v>
      </c>
      <c r="G132">
        <f>COUNTIF(표4[상품번호],상품!A132)</f>
        <v>1</v>
      </c>
      <c r="H132">
        <f>INDEX(표2[번호],MATCH(LEFT(A132,1),표2[코드],0))</f>
        <v>7</v>
      </c>
      <c r="I132" t="str">
        <f>VLOOKUP(C132,표1[],6,FALSE)</f>
        <v>진해구</v>
      </c>
      <c r="J132" t="str">
        <f>VLOOKUP(C132,표1[],7,FALSE)</f>
        <v>태평동</v>
      </c>
    </row>
    <row r="133" spans="1:10" x14ac:dyDescent="0.3">
      <c r="A133" s="8" t="s">
        <v>594</v>
      </c>
      <c r="B133" s="8" t="s">
        <v>595</v>
      </c>
      <c r="C133" s="8">
        <v>13</v>
      </c>
      <c r="D133" s="8" t="s">
        <v>374</v>
      </c>
      <c r="E133" s="9">
        <v>10000</v>
      </c>
      <c r="F133" t="b">
        <f>COUNTIF(표5[상품번호],상품!A133) &gt;0</f>
        <v>0</v>
      </c>
      <c r="G133">
        <f>COUNTIF(표4[상품번호],상품!A133)</f>
        <v>0</v>
      </c>
      <c r="H133">
        <f>INDEX(표2[번호],MATCH(LEFT(A133,1),표2[코드],0))</f>
        <v>7</v>
      </c>
      <c r="I133" t="str">
        <f>VLOOKUP(C133,표1[],6,FALSE)</f>
        <v>마산회원구</v>
      </c>
      <c r="J133" t="str">
        <f>VLOOKUP(C133,표1[],7,FALSE)</f>
        <v>봉암동</v>
      </c>
    </row>
    <row r="134" spans="1:10" x14ac:dyDescent="0.3">
      <c r="A134" s="8" t="s">
        <v>596</v>
      </c>
      <c r="B134" s="8" t="s">
        <v>597</v>
      </c>
      <c r="C134" s="8">
        <v>17</v>
      </c>
      <c r="D134" s="8" t="s">
        <v>598</v>
      </c>
      <c r="E134" s="9">
        <v>10000</v>
      </c>
      <c r="F134" t="b">
        <f>COUNTIF(표5[상품번호],상품!A134) &gt;0</f>
        <v>1</v>
      </c>
      <c r="G134">
        <f>COUNTIF(표4[상품번호],상품!A134)</f>
        <v>0</v>
      </c>
      <c r="H134">
        <f>INDEX(표2[번호],MATCH(LEFT(A134,1),표2[코드],0))</f>
        <v>7</v>
      </c>
      <c r="I134" t="str">
        <f>VLOOKUP(C134,표1[],6,FALSE)</f>
        <v>진해구</v>
      </c>
      <c r="J134" t="str">
        <f>VLOOKUP(C134,표1[],7,FALSE)</f>
        <v>덕산동</v>
      </c>
    </row>
    <row r="135" spans="1:10" x14ac:dyDescent="0.3">
      <c r="A135" s="8" t="s">
        <v>599</v>
      </c>
      <c r="B135" s="8" t="s">
        <v>600</v>
      </c>
      <c r="C135" s="8">
        <v>19</v>
      </c>
      <c r="D135" s="8" t="s">
        <v>601</v>
      </c>
      <c r="E135" s="9">
        <v>35000</v>
      </c>
      <c r="F135" t="b">
        <f>COUNTIF(표5[상품번호],상품!A135) &gt;0</f>
        <v>0</v>
      </c>
      <c r="G135">
        <f>COUNTIF(표4[상품번호],상품!A135)</f>
        <v>0</v>
      </c>
      <c r="H135">
        <f>INDEX(표2[번호],MATCH(LEFT(A135,1),표2[코드],0))</f>
        <v>7</v>
      </c>
      <c r="I135" t="str">
        <f>VLOOKUP(C135,표1[],6,FALSE)</f>
        <v>마산회원구</v>
      </c>
      <c r="J135" t="str">
        <f>VLOOKUP(C135,표1[],7,FALSE)</f>
        <v>양덕1동</v>
      </c>
    </row>
    <row r="136" spans="1:10" x14ac:dyDescent="0.3">
      <c r="A136" s="8" t="s">
        <v>602</v>
      </c>
      <c r="B136" s="8" t="s">
        <v>603</v>
      </c>
      <c r="C136" s="8">
        <v>24</v>
      </c>
      <c r="D136" s="8" t="s">
        <v>604</v>
      </c>
      <c r="E136" s="9">
        <v>7000</v>
      </c>
      <c r="F136" t="b">
        <f>COUNTIF(표5[상품번호],상품!A136) &gt;0</f>
        <v>0</v>
      </c>
      <c r="G136">
        <f>COUNTIF(표4[상품번호],상품!A136)</f>
        <v>0</v>
      </c>
      <c r="H136">
        <f>INDEX(표2[번호],MATCH(LEFT(A136,1),표2[코드],0))</f>
        <v>7</v>
      </c>
      <c r="I136" t="str">
        <f>VLOOKUP(C136,표1[],6,FALSE)</f>
        <v>마산합포구</v>
      </c>
      <c r="J136" t="str">
        <f>VLOOKUP(C136,표1[],7,FALSE)</f>
        <v>합포동</v>
      </c>
    </row>
    <row r="137" spans="1:10" x14ac:dyDescent="0.3">
      <c r="A137" s="8" t="s">
        <v>212</v>
      </c>
      <c r="B137" s="8" t="s">
        <v>605</v>
      </c>
      <c r="C137" s="8">
        <v>1</v>
      </c>
      <c r="D137" s="8" t="s">
        <v>606</v>
      </c>
      <c r="E137" s="9">
        <v>8000</v>
      </c>
      <c r="F137" t="b">
        <f>COUNTIF(표5[상품번호],상품!A137) &gt;0</f>
        <v>0</v>
      </c>
      <c r="G137">
        <f>COUNTIF(표4[상품번호],상품!A137)</f>
        <v>1</v>
      </c>
      <c r="H137">
        <f>INDEX(표2[번호],MATCH(LEFT(A137,1),표2[코드],0))</f>
        <v>7</v>
      </c>
      <c r="I137" t="str">
        <f>VLOOKUP(C137,표1[],6,FALSE)</f>
        <v>성산구</v>
      </c>
      <c r="J137" t="str">
        <f>VLOOKUP(C137,표1[],7,FALSE)</f>
        <v>중앙동</v>
      </c>
    </row>
    <row r="138" spans="1:10" x14ac:dyDescent="0.3">
      <c r="A138" s="8" t="s">
        <v>607</v>
      </c>
      <c r="B138" s="8" t="s">
        <v>608</v>
      </c>
      <c r="C138" s="8">
        <v>9</v>
      </c>
      <c r="D138" s="8" t="s">
        <v>609</v>
      </c>
      <c r="E138" s="9">
        <v>9000</v>
      </c>
      <c r="F138" t="b">
        <f>COUNTIF(표5[상품번호],상품!A138) &gt;0</f>
        <v>0</v>
      </c>
      <c r="G138">
        <f>COUNTIF(표4[상품번호],상품!A138)</f>
        <v>0</v>
      </c>
      <c r="H138">
        <f>INDEX(표2[번호],MATCH(LEFT(A138,1),표2[코드],0))</f>
        <v>7</v>
      </c>
      <c r="I138" t="str">
        <f>VLOOKUP(C138,표1[],6,FALSE)</f>
        <v>마산합포구</v>
      </c>
      <c r="J138" t="str">
        <f>VLOOKUP(C138,표1[],7,FALSE)</f>
        <v>월영동</v>
      </c>
    </row>
    <row r="139" spans="1:10" x14ac:dyDescent="0.3">
      <c r="A139" s="8" t="s">
        <v>610</v>
      </c>
      <c r="B139" s="8" t="s">
        <v>611</v>
      </c>
      <c r="C139" s="8">
        <v>11</v>
      </c>
      <c r="D139" s="8" t="s">
        <v>612</v>
      </c>
      <c r="E139" s="9">
        <v>10000</v>
      </c>
      <c r="F139" t="b">
        <f>COUNTIF(표5[상품번호],상품!A139) &gt;0</f>
        <v>0</v>
      </c>
      <c r="G139">
        <f>COUNTIF(표4[상품번호],상품!A139)</f>
        <v>0</v>
      </c>
      <c r="H139">
        <f>INDEX(표2[번호],MATCH(LEFT(A139,1),표2[코드],0))</f>
        <v>7</v>
      </c>
      <c r="I139" t="str">
        <f>VLOOKUP(C139,표1[],6,FALSE)</f>
        <v>의창구</v>
      </c>
      <c r="J139" t="str">
        <f>VLOOKUP(C139,표1[],7,FALSE)</f>
        <v>팔룡동</v>
      </c>
    </row>
    <row r="140" spans="1:10" x14ac:dyDescent="0.3">
      <c r="A140" s="8" t="s">
        <v>613</v>
      </c>
      <c r="B140" s="8" t="s">
        <v>614</v>
      </c>
      <c r="C140" s="8">
        <v>4</v>
      </c>
      <c r="D140" s="8" t="s">
        <v>615</v>
      </c>
      <c r="E140" s="9">
        <v>8000</v>
      </c>
      <c r="F140" t="b">
        <f>COUNTIF(표5[상품번호],상품!A140) &gt;0</f>
        <v>0</v>
      </c>
      <c r="G140">
        <f>COUNTIF(표4[상품번호],상품!A140)</f>
        <v>0</v>
      </c>
      <c r="H140">
        <f>INDEX(표2[번호],MATCH(LEFT(A140,1),표2[코드],0))</f>
        <v>7</v>
      </c>
      <c r="I140" t="str">
        <f>VLOOKUP(C140,표1[],6,FALSE)</f>
        <v>마산합포구</v>
      </c>
      <c r="J140" t="str">
        <f>VLOOKUP(C140,표1[],7,FALSE)</f>
        <v>현동</v>
      </c>
    </row>
    <row r="141" spans="1:10" x14ac:dyDescent="0.3">
      <c r="A141" s="8" t="s">
        <v>616</v>
      </c>
      <c r="B141" s="8" t="s">
        <v>617</v>
      </c>
      <c r="C141" s="8">
        <v>7</v>
      </c>
      <c r="D141" s="8" t="s">
        <v>618</v>
      </c>
      <c r="E141" s="9">
        <v>5000</v>
      </c>
      <c r="F141" t="b">
        <f>COUNTIF(표5[상품번호],상품!A141) &gt;0</f>
        <v>0</v>
      </c>
      <c r="G141">
        <f>COUNTIF(표4[상품번호],상품!A141)</f>
        <v>0</v>
      </c>
      <c r="H141">
        <f>INDEX(표2[번호],MATCH(LEFT(A141,1),표2[코드],0))</f>
        <v>7</v>
      </c>
      <c r="I141" t="str">
        <f>VLOOKUP(C141,표1[],6,FALSE)</f>
        <v>진해구</v>
      </c>
      <c r="J141" t="str">
        <f>VLOOKUP(C141,표1[],7,FALSE)</f>
        <v>경화동</v>
      </c>
    </row>
    <row r="142" spans="1:10" x14ac:dyDescent="0.3">
      <c r="A142" s="8" t="s">
        <v>619</v>
      </c>
      <c r="B142" s="8" t="s">
        <v>620</v>
      </c>
      <c r="C142" s="8">
        <v>23</v>
      </c>
      <c r="D142" s="8" t="s">
        <v>621</v>
      </c>
      <c r="E142" s="9">
        <v>2000</v>
      </c>
      <c r="F142" t="b">
        <f>COUNTIF(표5[상품번호],상품!A142) &gt;0</f>
        <v>0</v>
      </c>
      <c r="G142">
        <f>COUNTIF(표4[상품번호],상품!A142)</f>
        <v>0</v>
      </c>
      <c r="H142">
        <f>INDEX(표2[번호],MATCH(LEFT(A142,1),표2[코드],0))</f>
        <v>8</v>
      </c>
      <c r="I142" t="str">
        <f>VLOOKUP(C142,표1[],6,FALSE)</f>
        <v>진해구</v>
      </c>
      <c r="J142" t="str">
        <f>VLOOKUP(C142,표1[],7,FALSE)</f>
        <v>태평동</v>
      </c>
    </row>
    <row r="143" spans="1:10" x14ac:dyDescent="0.3">
      <c r="A143" s="8" t="s">
        <v>622</v>
      </c>
      <c r="B143" s="8" t="s">
        <v>623</v>
      </c>
      <c r="C143" s="8">
        <v>13</v>
      </c>
      <c r="D143" s="8" t="s">
        <v>624</v>
      </c>
      <c r="E143" s="9">
        <v>3000</v>
      </c>
      <c r="F143" t="b">
        <f>COUNTIF(표5[상품번호],상품!A143) &gt;0</f>
        <v>0</v>
      </c>
      <c r="G143">
        <f>COUNTIF(표4[상품번호],상품!A143)</f>
        <v>0</v>
      </c>
      <c r="H143">
        <f>INDEX(표2[번호],MATCH(LEFT(A143,1),표2[코드],0))</f>
        <v>8</v>
      </c>
      <c r="I143" t="str">
        <f>VLOOKUP(C143,표1[],6,FALSE)</f>
        <v>마산회원구</v>
      </c>
      <c r="J143" t="str">
        <f>VLOOKUP(C143,표1[],7,FALSE)</f>
        <v>봉암동</v>
      </c>
    </row>
    <row r="144" spans="1:10" x14ac:dyDescent="0.3">
      <c r="A144" s="8" t="s">
        <v>625</v>
      </c>
      <c r="B144" s="8" t="s">
        <v>626</v>
      </c>
      <c r="C144" s="8">
        <v>17</v>
      </c>
      <c r="D144" s="8" t="s">
        <v>627</v>
      </c>
      <c r="E144" s="9">
        <v>5000</v>
      </c>
      <c r="F144" t="b">
        <f>COUNTIF(표5[상품번호],상품!A144) &gt;0</f>
        <v>0</v>
      </c>
      <c r="G144">
        <f>COUNTIF(표4[상품번호],상품!A144)</f>
        <v>0</v>
      </c>
      <c r="H144">
        <f>INDEX(표2[번호],MATCH(LEFT(A144,1),표2[코드],0))</f>
        <v>8</v>
      </c>
      <c r="I144" t="str">
        <f>VLOOKUP(C144,표1[],6,FALSE)</f>
        <v>진해구</v>
      </c>
      <c r="J144" t="str">
        <f>VLOOKUP(C144,표1[],7,FALSE)</f>
        <v>덕산동</v>
      </c>
    </row>
    <row r="145" spans="1:10" x14ac:dyDescent="0.3">
      <c r="A145" s="8" t="s">
        <v>628</v>
      </c>
      <c r="B145" s="8" t="s">
        <v>629</v>
      </c>
      <c r="C145" s="8">
        <v>19</v>
      </c>
      <c r="D145" s="8" t="s">
        <v>630</v>
      </c>
      <c r="E145" s="9">
        <v>1000</v>
      </c>
      <c r="F145" t="b">
        <f>COUNTIF(표5[상품번호],상품!A145) &gt;0</f>
        <v>0</v>
      </c>
      <c r="G145">
        <f>COUNTIF(표4[상품번호],상품!A145)</f>
        <v>0</v>
      </c>
      <c r="H145">
        <f>INDEX(표2[번호],MATCH(LEFT(A145,1),표2[코드],0))</f>
        <v>8</v>
      </c>
      <c r="I145" t="str">
        <f>VLOOKUP(C145,표1[],6,FALSE)</f>
        <v>마산회원구</v>
      </c>
      <c r="J145" t="str">
        <f>VLOOKUP(C145,표1[],7,FALSE)</f>
        <v>양덕1동</v>
      </c>
    </row>
    <row r="146" spans="1:10" x14ac:dyDescent="0.3">
      <c r="A146" s="8" t="s">
        <v>631</v>
      </c>
      <c r="B146" s="8" t="s">
        <v>632</v>
      </c>
      <c r="C146" s="8">
        <v>24</v>
      </c>
      <c r="D146" s="8" t="s">
        <v>633</v>
      </c>
      <c r="E146" s="9">
        <v>1000</v>
      </c>
      <c r="F146" t="b">
        <f>COUNTIF(표5[상품번호],상품!A146) &gt;0</f>
        <v>0</v>
      </c>
      <c r="G146">
        <f>COUNTIF(표4[상품번호],상품!A146)</f>
        <v>0</v>
      </c>
      <c r="H146">
        <f>INDEX(표2[번호],MATCH(LEFT(A146,1),표2[코드],0))</f>
        <v>8</v>
      </c>
      <c r="I146" t="str">
        <f>VLOOKUP(C146,표1[],6,FALSE)</f>
        <v>마산합포구</v>
      </c>
      <c r="J146" t="str">
        <f>VLOOKUP(C146,표1[],7,FALSE)</f>
        <v>합포동</v>
      </c>
    </row>
    <row r="147" spans="1:10" x14ac:dyDescent="0.3">
      <c r="A147" s="8" t="s">
        <v>634</v>
      </c>
      <c r="B147" s="8" t="s">
        <v>635</v>
      </c>
      <c r="C147" s="8">
        <v>1</v>
      </c>
      <c r="D147" s="8" t="s">
        <v>636</v>
      </c>
      <c r="E147" s="9">
        <v>5000</v>
      </c>
      <c r="F147" t="b">
        <f>COUNTIF(표5[상품번호],상품!A147) &gt;0</f>
        <v>0</v>
      </c>
      <c r="G147">
        <f>COUNTIF(표4[상품번호],상품!A147)</f>
        <v>0</v>
      </c>
      <c r="H147">
        <f>INDEX(표2[번호],MATCH(LEFT(A147,1),표2[코드],0))</f>
        <v>8</v>
      </c>
      <c r="I147" t="str">
        <f>VLOOKUP(C147,표1[],6,FALSE)</f>
        <v>성산구</v>
      </c>
      <c r="J147" t="str">
        <f>VLOOKUP(C147,표1[],7,FALSE)</f>
        <v>중앙동</v>
      </c>
    </row>
    <row r="148" spans="1:10" x14ac:dyDescent="0.3">
      <c r="A148" s="8" t="s">
        <v>637</v>
      </c>
      <c r="B148" s="8" t="s">
        <v>638</v>
      </c>
      <c r="C148" s="8">
        <v>9</v>
      </c>
      <c r="D148" s="8" t="s">
        <v>639</v>
      </c>
      <c r="E148" s="9">
        <v>9900</v>
      </c>
      <c r="F148" t="b">
        <f>COUNTIF(표5[상품번호],상품!A148) &gt;0</f>
        <v>1</v>
      </c>
      <c r="G148">
        <f>COUNTIF(표4[상품번호],상품!A148)</f>
        <v>0</v>
      </c>
      <c r="H148">
        <f>INDEX(표2[번호],MATCH(LEFT(A148,1),표2[코드],0))</f>
        <v>8</v>
      </c>
      <c r="I148" t="str">
        <f>VLOOKUP(C148,표1[],6,FALSE)</f>
        <v>마산합포구</v>
      </c>
      <c r="J148" t="str">
        <f>VLOOKUP(C148,표1[],7,FALSE)</f>
        <v>월영동</v>
      </c>
    </row>
    <row r="149" spans="1:10" x14ac:dyDescent="0.3">
      <c r="A149" s="8" t="s">
        <v>640</v>
      </c>
      <c r="B149" s="8" t="s">
        <v>641</v>
      </c>
      <c r="C149" s="8">
        <v>11</v>
      </c>
      <c r="D149" s="8" t="s">
        <v>642</v>
      </c>
      <c r="E149" s="9">
        <v>15000</v>
      </c>
      <c r="F149" t="b">
        <f>COUNTIF(표5[상품번호],상품!A149) &gt;0</f>
        <v>0</v>
      </c>
      <c r="G149">
        <f>COUNTIF(표4[상품번호],상품!A149)</f>
        <v>0</v>
      </c>
      <c r="H149">
        <f>INDEX(표2[번호],MATCH(LEFT(A149,1),표2[코드],0))</f>
        <v>8</v>
      </c>
      <c r="I149" t="str">
        <f>VLOOKUP(C149,표1[],6,FALSE)</f>
        <v>의창구</v>
      </c>
      <c r="J149" t="str">
        <f>VLOOKUP(C149,표1[],7,FALSE)</f>
        <v>팔룡동</v>
      </c>
    </row>
    <row r="150" spans="1:10" x14ac:dyDescent="0.3">
      <c r="A150" s="8" t="s">
        <v>643</v>
      </c>
      <c r="B150" s="8" t="s">
        <v>644</v>
      </c>
      <c r="C150" s="8">
        <v>4</v>
      </c>
      <c r="D150" s="8" t="s">
        <v>645</v>
      </c>
      <c r="E150" s="9">
        <v>20000</v>
      </c>
      <c r="F150" t="b">
        <f>COUNTIF(표5[상품번호],상품!A150) &gt;0</f>
        <v>0</v>
      </c>
      <c r="G150">
        <f>COUNTIF(표4[상품번호],상품!A150)</f>
        <v>0</v>
      </c>
      <c r="H150">
        <f>INDEX(표2[번호],MATCH(LEFT(A150,1),표2[코드],0))</f>
        <v>8</v>
      </c>
      <c r="I150" t="str">
        <f>VLOOKUP(C150,표1[],6,FALSE)</f>
        <v>마산합포구</v>
      </c>
      <c r="J150" t="str">
        <f>VLOOKUP(C150,표1[],7,FALSE)</f>
        <v>현동</v>
      </c>
    </row>
    <row r="151" spans="1:10" x14ac:dyDescent="0.3">
      <c r="A151" s="8" t="s">
        <v>646</v>
      </c>
      <c r="B151" s="8" t="s">
        <v>647</v>
      </c>
      <c r="C151" s="8">
        <v>7</v>
      </c>
      <c r="D151" s="8" t="s">
        <v>648</v>
      </c>
      <c r="E151" s="9">
        <v>5000</v>
      </c>
      <c r="F151" t="b">
        <f>COUNTIF(표5[상품번호],상품!A151) &gt;0</f>
        <v>1</v>
      </c>
      <c r="G151">
        <f>COUNTIF(표4[상품번호],상품!A151)</f>
        <v>0</v>
      </c>
      <c r="H151">
        <f>INDEX(표2[번호],MATCH(LEFT(A151,1),표2[코드],0))</f>
        <v>8</v>
      </c>
      <c r="I151" t="str">
        <f>VLOOKUP(C151,표1[],6,FALSE)</f>
        <v>진해구</v>
      </c>
      <c r="J151" t="str">
        <f>VLOOKUP(C151,표1[],7,FALSE)</f>
        <v>경화동</v>
      </c>
    </row>
    <row r="152" spans="1:10" x14ac:dyDescent="0.3">
      <c r="A152" s="8" t="s">
        <v>649</v>
      </c>
      <c r="B152" s="8" t="s">
        <v>650</v>
      </c>
      <c r="C152" s="8">
        <v>20</v>
      </c>
      <c r="D152" s="8" t="s">
        <v>651</v>
      </c>
      <c r="E152" s="9">
        <v>6000</v>
      </c>
      <c r="F152" t="b">
        <f>COUNTIF(표5[상품번호],상품!A152) &gt;0</f>
        <v>0</v>
      </c>
      <c r="G152">
        <f>COUNTIF(표4[상품번호],상품!A152)</f>
        <v>0</v>
      </c>
      <c r="H152">
        <f>INDEX(표2[번호],MATCH(LEFT(A152,1),표2[코드],0))</f>
        <v>8</v>
      </c>
      <c r="I152" t="str">
        <f>VLOOKUP(C152,표1[],6,FALSE)</f>
        <v>마산합포구</v>
      </c>
      <c r="J152" t="str">
        <f>VLOOKUP(C152,표1[],7,FALSE)</f>
        <v>간호동</v>
      </c>
    </row>
    <row r="153" spans="1:10" x14ac:dyDescent="0.3">
      <c r="A153" s="8" t="s">
        <v>652</v>
      </c>
      <c r="B153" s="8" t="s">
        <v>653</v>
      </c>
      <c r="C153" s="8">
        <v>15</v>
      </c>
      <c r="D153" s="8" t="s">
        <v>654</v>
      </c>
      <c r="E153" s="9">
        <v>6000</v>
      </c>
      <c r="F153" t="b">
        <f>COUNTIF(표5[상품번호],상품!A153) &gt;0</f>
        <v>1</v>
      </c>
      <c r="G153">
        <f>COUNTIF(표4[상품번호],상품!A153)</f>
        <v>0</v>
      </c>
      <c r="H153">
        <f>INDEX(표2[번호],MATCH(LEFT(A153,1),표2[코드],0))</f>
        <v>8</v>
      </c>
      <c r="I153" t="str">
        <f>VLOOKUP(C153,표1[],6,FALSE)</f>
        <v>의창구</v>
      </c>
      <c r="J153" t="str">
        <f>VLOOKUP(C153,표1[],7,FALSE)</f>
        <v>명곡동</v>
      </c>
    </row>
    <row r="154" spans="1:10" x14ac:dyDescent="0.3">
      <c r="A154" s="8" t="s">
        <v>655</v>
      </c>
      <c r="B154" s="8" t="s">
        <v>656</v>
      </c>
      <c r="C154" s="8">
        <v>6</v>
      </c>
      <c r="D154" s="8" t="s">
        <v>657</v>
      </c>
      <c r="E154" s="9">
        <v>30000</v>
      </c>
      <c r="F154" t="b">
        <f>COUNTIF(표5[상품번호],상품!A154) &gt;0</f>
        <v>0</v>
      </c>
      <c r="G154">
        <f>COUNTIF(표4[상품번호],상품!A154)</f>
        <v>0</v>
      </c>
      <c r="H154">
        <f>INDEX(표2[번호],MATCH(LEFT(A154,1),표2[코드],0))</f>
        <v>8</v>
      </c>
      <c r="I154" t="str">
        <f>VLOOKUP(C154,표1[],6,FALSE)</f>
        <v>성산구</v>
      </c>
      <c r="J154" t="str">
        <f>VLOOKUP(C154,표1[],7,FALSE)</f>
        <v>중앙동</v>
      </c>
    </row>
    <row r="155" spans="1:10" x14ac:dyDescent="0.3">
      <c r="A155" s="8" t="s">
        <v>218</v>
      </c>
      <c r="B155" s="8" t="s">
        <v>658</v>
      </c>
      <c r="C155" s="8">
        <v>2</v>
      </c>
      <c r="D155" s="8" t="s">
        <v>659</v>
      </c>
      <c r="E155" s="9">
        <v>25000</v>
      </c>
      <c r="F155" t="b">
        <f>COUNTIF(표5[상품번호],상품!A155) &gt;0</f>
        <v>0</v>
      </c>
      <c r="G155">
        <f>COUNTIF(표4[상품번호],상품!A155)</f>
        <v>1</v>
      </c>
      <c r="H155">
        <f>INDEX(표2[번호],MATCH(LEFT(A155,1),표2[코드],0))</f>
        <v>8</v>
      </c>
      <c r="I155" t="str">
        <f>VLOOKUP(C155,표1[],6,FALSE)</f>
        <v>진해구</v>
      </c>
      <c r="J155" t="str">
        <f>VLOOKUP(C155,표1[],7,FALSE)</f>
        <v>충무동</v>
      </c>
    </row>
    <row r="156" spans="1:10" x14ac:dyDescent="0.3">
      <c r="A156" s="8" t="s">
        <v>214</v>
      </c>
      <c r="B156" s="8" t="s">
        <v>660</v>
      </c>
      <c r="C156" s="8">
        <v>22</v>
      </c>
      <c r="D156" s="8" t="s">
        <v>661</v>
      </c>
      <c r="E156" s="9">
        <v>2500</v>
      </c>
      <c r="F156" t="b">
        <f>COUNTIF(표5[상품번호],상품!A156) &gt;0</f>
        <v>0</v>
      </c>
      <c r="G156">
        <f>COUNTIF(표4[상품번호],상품!A156)</f>
        <v>2</v>
      </c>
      <c r="H156">
        <f>INDEX(표2[번호],MATCH(LEFT(A156,1),표2[코드],0))</f>
        <v>8</v>
      </c>
      <c r="I156" t="str">
        <f>VLOOKUP(C156,표1[],6,FALSE)</f>
        <v>의창구</v>
      </c>
      <c r="J156" t="str">
        <f>VLOOKUP(C156,표1[],7,FALSE)</f>
        <v>용지동</v>
      </c>
    </row>
    <row r="157" spans="1:10" x14ac:dyDescent="0.3">
      <c r="A157" s="8" t="s">
        <v>662</v>
      </c>
      <c r="B157" s="8" t="s">
        <v>663</v>
      </c>
      <c r="C157" s="8">
        <v>21</v>
      </c>
      <c r="D157" s="8" t="s">
        <v>358</v>
      </c>
      <c r="E157" s="9">
        <v>5000</v>
      </c>
      <c r="F157" t="b">
        <f>COUNTIF(표5[상품번호],상품!A157) &gt;0</f>
        <v>0</v>
      </c>
      <c r="G157">
        <f>COUNTIF(표4[상품번호],상품!A157)</f>
        <v>0</v>
      </c>
      <c r="H157">
        <f>INDEX(표2[번호],MATCH(LEFT(A157,1),표2[코드],0))</f>
        <v>8</v>
      </c>
      <c r="I157" t="str">
        <f>VLOOKUP(C157,표1[],6,FALSE)</f>
        <v>성산구</v>
      </c>
      <c r="J157" t="str">
        <f>VLOOKUP(C157,표1[],7,FALSE)</f>
        <v>웅남동</v>
      </c>
    </row>
    <row r="158" spans="1:10" x14ac:dyDescent="0.3">
      <c r="A158" s="8" t="s">
        <v>664</v>
      </c>
      <c r="B158" s="8" t="s">
        <v>665</v>
      </c>
      <c r="C158" s="8">
        <v>12</v>
      </c>
      <c r="D158" s="8" t="s">
        <v>666</v>
      </c>
      <c r="E158" s="9">
        <v>23000</v>
      </c>
      <c r="F158" t="b">
        <f>COUNTIF(표5[상품번호],상품!A158) &gt;0</f>
        <v>0</v>
      </c>
      <c r="G158">
        <f>COUNTIF(표4[상품번호],상품!A158)</f>
        <v>0</v>
      </c>
      <c r="H158">
        <f>INDEX(표2[번호],MATCH(LEFT(A158,1),표2[코드],0))</f>
        <v>8</v>
      </c>
      <c r="I158" t="str">
        <f>VLOOKUP(C158,표1[],6,FALSE)</f>
        <v>진해구</v>
      </c>
      <c r="J158" t="str">
        <f>VLOOKUP(C158,표1[],7,FALSE)</f>
        <v>자은동</v>
      </c>
    </row>
    <row r="159" spans="1:10" x14ac:dyDescent="0.3">
      <c r="A159" s="8" t="s">
        <v>667</v>
      </c>
      <c r="B159" s="8" t="s">
        <v>668</v>
      </c>
      <c r="C159" s="8">
        <v>14</v>
      </c>
      <c r="D159" s="8" t="s">
        <v>669</v>
      </c>
      <c r="E159" s="9">
        <v>35000</v>
      </c>
      <c r="F159" t="b">
        <f>COUNTIF(표5[상품번호],상품!A159) &gt;0</f>
        <v>0</v>
      </c>
      <c r="G159">
        <f>COUNTIF(표4[상품번호],상품!A159)</f>
        <v>0</v>
      </c>
      <c r="H159">
        <f>INDEX(표2[번호],MATCH(LEFT(A159,1),표2[코드],0))</f>
        <v>8</v>
      </c>
      <c r="I159" t="str">
        <f>VLOOKUP(C159,표1[],6,FALSE)</f>
        <v>성산구</v>
      </c>
      <c r="J159" t="str">
        <f>VLOOKUP(C159,표1[],7,FALSE)</f>
        <v>가음정동</v>
      </c>
    </row>
    <row r="160" spans="1:10" x14ac:dyDescent="0.3">
      <c r="A160" s="8" t="s">
        <v>670</v>
      </c>
      <c r="B160" s="8" t="s">
        <v>671</v>
      </c>
      <c r="C160" s="8">
        <v>18</v>
      </c>
      <c r="D160" s="8" t="s">
        <v>672</v>
      </c>
      <c r="E160" s="9">
        <v>12000</v>
      </c>
      <c r="F160" t="b">
        <f>COUNTIF(표5[상품번호],상품!A160) &gt;0</f>
        <v>0</v>
      </c>
      <c r="G160">
        <f>COUNTIF(표4[상품번호],상품!A160)</f>
        <v>0</v>
      </c>
      <c r="H160">
        <f>INDEX(표2[번호],MATCH(LEFT(A160,1),표2[코드],0))</f>
        <v>8</v>
      </c>
      <c r="I160" t="str">
        <f>VLOOKUP(C160,표1[],6,FALSE)</f>
        <v>의창구</v>
      </c>
      <c r="J160" t="str">
        <f>VLOOKUP(C160,표1[],7,FALSE)</f>
        <v>봉림동</v>
      </c>
    </row>
    <row r="161" spans="1:10" x14ac:dyDescent="0.3">
      <c r="A161" s="8" t="s">
        <v>199</v>
      </c>
      <c r="B161" s="8" t="s">
        <v>673</v>
      </c>
      <c r="C161" s="8">
        <v>3</v>
      </c>
      <c r="D161" s="8" t="s">
        <v>674</v>
      </c>
      <c r="E161" s="9">
        <v>6000</v>
      </c>
      <c r="F161" t="b">
        <f>COUNTIF(표5[상품번호],상품!A161) &gt;0</f>
        <v>0</v>
      </c>
      <c r="G161">
        <f>COUNTIF(표4[상품번호],상품!A161)</f>
        <v>1</v>
      </c>
      <c r="H161">
        <f>INDEX(표2[번호],MATCH(LEFT(A161,1),표2[코드],0))</f>
        <v>8</v>
      </c>
      <c r="I161" t="str">
        <f>VLOOKUP(C161,표1[],6,FALSE)</f>
        <v>마산회원구</v>
      </c>
      <c r="J161" t="str">
        <f>VLOOKUP(C161,표1[],7,FALSE)</f>
        <v>석전동</v>
      </c>
    </row>
    <row r="162" spans="1:10" x14ac:dyDescent="0.3">
      <c r="A162" s="8" t="s">
        <v>201</v>
      </c>
      <c r="B162" s="8" t="s">
        <v>675</v>
      </c>
      <c r="C162" s="8">
        <v>20</v>
      </c>
      <c r="D162" s="8" t="s">
        <v>676</v>
      </c>
      <c r="E162" s="9">
        <v>15000</v>
      </c>
      <c r="F162" t="b">
        <f>COUNTIF(표5[상품번호],상품!A162) &gt;0</f>
        <v>0</v>
      </c>
      <c r="G162">
        <f>COUNTIF(표4[상품번호],상품!A162)</f>
        <v>1</v>
      </c>
      <c r="H162">
        <f>INDEX(표2[번호],MATCH(LEFT(A162,1),표2[코드],0))</f>
        <v>9</v>
      </c>
      <c r="I162" t="str">
        <f>VLOOKUP(C162,표1[],6,FALSE)</f>
        <v>마산합포구</v>
      </c>
      <c r="J162" t="str">
        <f>VLOOKUP(C162,표1[],7,FALSE)</f>
        <v>간호동</v>
      </c>
    </row>
    <row r="163" spans="1:10" x14ac:dyDescent="0.3">
      <c r="A163" s="8" t="s">
        <v>209</v>
      </c>
      <c r="B163" s="8" t="s">
        <v>677</v>
      </c>
      <c r="C163" s="8">
        <v>15</v>
      </c>
      <c r="D163" s="8" t="s">
        <v>678</v>
      </c>
      <c r="E163" s="9">
        <v>10000</v>
      </c>
      <c r="F163" t="b">
        <f>COUNTIF(표5[상품번호],상품!A163) &gt;0</f>
        <v>0</v>
      </c>
      <c r="G163">
        <f>COUNTIF(표4[상품번호],상품!A163)</f>
        <v>1</v>
      </c>
      <c r="H163">
        <f>INDEX(표2[번호],MATCH(LEFT(A163,1),표2[코드],0))</f>
        <v>9</v>
      </c>
      <c r="I163" t="str">
        <f>VLOOKUP(C163,표1[],6,FALSE)</f>
        <v>의창구</v>
      </c>
      <c r="J163" t="str">
        <f>VLOOKUP(C163,표1[],7,FALSE)</f>
        <v>명곡동</v>
      </c>
    </row>
    <row r="164" spans="1:10" x14ac:dyDescent="0.3">
      <c r="A164" s="8" t="s">
        <v>679</v>
      </c>
      <c r="B164" s="8" t="s">
        <v>680</v>
      </c>
      <c r="C164" s="8">
        <v>6</v>
      </c>
      <c r="D164" s="8" t="s">
        <v>681</v>
      </c>
      <c r="E164" s="9">
        <v>12000</v>
      </c>
      <c r="F164" t="b">
        <f>COUNTIF(표5[상품번호],상품!A164) &gt;0</f>
        <v>0</v>
      </c>
      <c r="G164">
        <f>COUNTIF(표4[상품번호],상품!A164)</f>
        <v>0</v>
      </c>
      <c r="H164">
        <f>INDEX(표2[번호],MATCH(LEFT(A164,1),표2[코드],0))</f>
        <v>9</v>
      </c>
      <c r="I164" t="str">
        <f>VLOOKUP(C164,표1[],6,FALSE)</f>
        <v>성산구</v>
      </c>
      <c r="J164" t="str">
        <f>VLOOKUP(C164,표1[],7,FALSE)</f>
        <v>중앙동</v>
      </c>
    </row>
    <row r="165" spans="1:10" x14ac:dyDescent="0.3">
      <c r="A165" s="8" t="s">
        <v>682</v>
      </c>
      <c r="B165" s="8" t="s">
        <v>683</v>
      </c>
      <c r="C165" s="8">
        <v>2</v>
      </c>
      <c r="D165" s="8" t="s">
        <v>684</v>
      </c>
      <c r="E165" s="9">
        <v>10000</v>
      </c>
      <c r="F165" t="b">
        <f>COUNTIF(표5[상품번호],상품!A165) &gt;0</f>
        <v>1</v>
      </c>
      <c r="G165">
        <f>COUNTIF(표4[상품번호],상품!A165)</f>
        <v>0</v>
      </c>
      <c r="H165">
        <f>INDEX(표2[번호],MATCH(LEFT(A165,1),표2[코드],0))</f>
        <v>9</v>
      </c>
      <c r="I165" t="str">
        <f>VLOOKUP(C165,표1[],6,FALSE)</f>
        <v>진해구</v>
      </c>
      <c r="J165" t="str">
        <f>VLOOKUP(C165,표1[],7,FALSE)</f>
        <v>충무동</v>
      </c>
    </row>
    <row r="166" spans="1:10" x14ac:dyDescent="0.3">
      <c r="A166" s="8" t="s">
        <v>685</v>
      </c>
      <c r="B166" s="8" t="s">
        <v>686</v>
      </c>
      <c r="C166" s="8">
        <v>22</v>
      </c>
      <c r="D166" s="8" t="s">
        <v>687</v>
      </c>
      <c r="E166" s="9">
        <v>9000</v>
      </c>
      <c r="F166" t="b">
        <f>COUNTIF(표5[상품번호],상품!A166) &gt;0</f>
        <v>0</v>
      </c>
      <c r="G166">
        <f>COUNTIF(표4[상품번호],상품!A166)</f>
        <v>0</v>
      </c>
      <c r="H166">
        <f>INDEX(표2[번호],MATCH(LEFT(A166,1),표2[코드],0))</f>
        <v>9</v>
      </c>
      <c r="I166" t="str">
        <f>VLOOKUP(C166,표1[],6,FALSE)</f>
        <v>의창구</v>
      </c>
      <c r="J166" t="str">
        <f>VLOOKUP(C166,표1[],7,FALSE)</f>
        <v>용지동</v>
      </c>
    </row>
    <row r="167" spans="1:10" x14ac:dyDescent="0.3">
      <c r="A167" s="8" t="s">
        <v>688</v>
      </c>
      <c r="B167" s="8" t="s">
        <v>689</v>
      </c>
      <c r="C167" s="8">
        <v>21</v>
      </c>
      <c r="D167" s="8" t="s">
        <v>690</v>
      </c>
      <c r="E167" s="9">
        <v>4000</v>
      </c>
      <c r="F167" t="b">
        <f>COUNTIF(표5[상품번호],상품!A167) &gt;0</f>
        <v>0</v>
      </c>
      <c r="G167">
        <f>COUNTIF(표4[상품번호],상품!A167)</f>
        <v>0</v>
      </c>
      <c r="H167">
        <f>INDEX(표2[번호],MATCH(LEFT(A167,1),표2[코드],0))</f>
        <v>9</v>
      </c>
      <c r="I167" t="str">
        <f>VLOOKUP(C167,표1[],6,FALSE)</f>
        <v>성산구</v>
      </c>
      <c r="J167" t="str">
        <f>VLOOKUP(C167,표1[],7,FALSE)</f>
        <v>웅남동</v>
      </c>
    </row>
    <row r="168" spans="1:10" x14ac:dyDescent="0.3">
      <c r="A168" s="8" t="s">
        <v>691</v>
      </c>
      <c r="B168" s="8" t="s">
        <v>692</v>
      </c>
      <c r="C168" s="8">
        <v>12</v>
      </c>
      <c r="D168" s="8" t="s">
        <v>693</v>
      </c>
      <c r="E168" s="9">
        <v>18000</v>
      </c>
      <c r="F168" t="b">
        <f>COUNTIF(표5[상품번호],상품!A168) &gt;0</f>
        <v>0</v>
      </c>
      <c r="G168">
        <f>COUNTIF(표4[상품번호],상품!A168)</f>
        <v>0</v>
      </c>
      <c r="H168">
        <f>INDEX(표2[번호],MATCH(LEFT(A168,1),표2[코드],0))</f>
        <v>9</v>
      </c>
      <c r="I168" t="str">
        <f>VLOOKUP(C168,표1[],6,FALSE)</f>
        <v>진해구</v>
      </c>
      <c r="J168" t="str">
        <f>VLOOKUP(C168,표1[],7,FALSE)</f>
        <v>자은동</v>
      </c>
    </row>
    <row r="169" spans="1:10" x14ac:dyDescent="0.3">
      <c r="A169" s="8" t="s">
        <v>694</v>
      </c>
      <c r="B169" s="8" t="s">
        <v>695</v>
      </c>
      <c r="C169" s="8">
        <v>14</v>
      </c>
      <c r="D169" s="8" t="s">
        <v>696</v>
      </c>
      <c r="E169" s="9">
        <v>20000</v>
      </c>
      <c r="F169" t="b">
        <f>COUNTIF(표5[상품번호],상품!A169) &gt;0</f>
        <v>0</v>
      </c>
      <c r="G169">
        <f>COUNTIF(표4[상품번호],상품!A169)</f>
        <v>0</v>
      </c>
      <c r="H169">
        <f>INDEX(표2[번호],MATCH(LEFT(A169,1),표2[코드],0))</f>
        <v>9</v>
      </c>
      <c r="I169" t="str">
        <f>VLOOKUP(C169,표1[],6,FALSE)</f>
        <v>성산구</v>
      </c>
      <c r="J169" t="str">
        <f>VLOOKUP(C169,표1[],7,FALSE)</f>
        <v>가음정동</v>
      </c>
    </row>
    <row r="170" spans="1:10" x14ac:dyDescent="0.3">
      <c r="A170" s="8" t="s">
        <v>208</v>
      </c>
      <c r="B170" s="8" t="s">
        <v>697</v>
      </c>
      <c r="C170" s="8">
        <v>18</v>
      </c>
      <c r="D170" s="8" t="s">
        <v>698</v>
      </c>
      <c r="E170" s="9">
        <v>1000</v>
      </c>
      <c r="F170" t="b">
        <f>COUNTIF(표5[상품번호],상품!A170) &gt;0</f>
        <v>1</v>
      </c>
      <c r="G170">
        <f>COUNTIF(표4[상품번호],상품!A170)</f>
        <v>1</v>
      </c>
      <c r="H170">
        <f>INDEX(표2[번호],MATCH(LEFT(A170,1),표2[코드],0))</f>
        <v>9</v>
      </c>
      <c r="I170" t="str">
        <f>VLOOKUP(C170,표1[],6,FALSE)</f>
        <v>의창구</v>
      </c>
      <c r="J170" t="str">
        <f>VLOOKUP(C170,표1[],7,FALSE)</f>
        <v>봉림동</v>
      </c>
    </row>
    <row r="171" spans="1:10" x14ac:dyDescent="0.3">
      <c r="A171" s="8" t="s">
        <v>699</v>
      </c>
      <c r="B171" s="8" t="s">
        <v>700</v>
      </c>
      <c r="C171" s="8">
        <v>3</v>
      </c>
      <c r="D171" s="8" t="s">
        <v>701</v>
      </c>
      <c r="E171" s="9">
        <v>1000</v>
      </c>
      <c r="F171" t="b">
        <f>COUNTIF(표5[상품번호],상품!A171) &gt;0</f>
        <v>0</v>
      </c>
      <c r="G171">
        <f>COUNTIF(표4[상품번호],상품!A171)</f>
        <v>0</v>
      </c>
      <c r="H171">
        <f>INDEX(표2[번호],MATCH(LEFT(A171,1),표2[코드],0))</f>
        <v>9</v>
      </c>
      <c r="I171" t="str">
        <f>VLOOKUP(C171,표1[],6,FALSE)</f>
        <v>마산회원구</v>
      </c>
      <c r="J171" t="str">
        <f>VLOOKUP(C171,표1[],7,FALSE)</f>
        <v>석전동</v>
      </c>
    </row>
    <row r="172" spans="1:10" x14ac:dyDescent="0.3">
      <c r="A172" s="8" t="s">
        <v>702</v>
      </c>
      <c r="B172" s="8" t="s">
        <v>703</v>
      </c>
      <c r="C172" s="8">
        <v>10</v>
      </c>
      <c r="D172" s="8" t="s">
        <v>704</v>
      </c>
      <c r="E172" s="9">
        <v>9000</v>
      </c>
      <c r="F172" t="b">
        <f>COUNTIF(표5[상품번호],상품!A172) &gt;0</f>
        <v>1</v>
      </c>
      <c r="G172">
        <f>COUNTIF(표4[상품번호],상품!A172)</f>
        <v>0</v>
      </c>
      <c r="H172">
        <f>INDEX(표2[번호],MATCH(LEFT(A172,1),표2[코드],0))</f>
        <v>9</v>
      </c>
      <c r="I172" t="str">
        <f>VLOOKUP(C172,표1[],6,FALSE)</f>
        <v>성산구</v>
      </c>
      <c r="J172" t="str">
        <f>VLOOKUP(C172,표1[],7,FALSE)</f>
        <v>사파동</v>
      </c>
    </row>
    <row r="173" spans="1:10" x14ac:dyDescent="0.3">
      <c r="A173" s="8" t="s">
        <v>705</v>
      </c>
      <c r="B173" s="8" t="s">
        <v>706</v>
      </c>
      <c r="C173" s="8">
        <v>8</v>
      </c>
      <c r="D173" s="8" t="s">
        <v>707</v>
      </c>
      <c r="E173" s="9">
        <v>8000</v>
      </c>
      <c r="F173" t="b">
        <f>COUNTIF(표5[상품번호],상품!A173) &gt;0</f>
        <v>0</v>
      </c>
      <c r="G173">
        <f>COUNTIF(표4[상품번호],상품!A173)</f>
        <v>0</v>
      </c>
      <c r="H173">
        <f>INDEX(표2[번호],MATCH(LEFT(A173,1),표2[코드],0))</f>
        <v>9</v>
      </c>
      <c r="I173" t="str">
        <f>VLOOKUP(C173,표1[],6,FALSE)</f>
        <v>마산회원구</v>
      </c>
      <c r="J173" t="str">
        <f>VLOOKUP(C173,표1[],7,FALSE)</f>
        <v>회성동</v>
      </c>
    </row>
    <row r="174" spans="1:10" x14ac:dyDescent="0.3">
      <c r="A174" s="8" t="s">
        <v>708</v>
      </c>
      <c r="B174" s="8" t="s">
        <v>709</v>
      </c>
      <c r="C174" s="8">
        <v>5</v>
      </c>
      <c r="D174" s="8" t="s">
        <v>710</v>
      </c>
      <c r="E174" s="9">
        <v>3000</v>
      </c>
      <c r="F174" t="b">
        <f>COUNTIF(표5[상품번호],상품!A174) &gt;0</f>
        <v>0</v>
      </c>
      <c r="G174">
        <f>COUNTIF(표4[상품번호],상품!A174)</f>
        <v>0</v>
      </c>
      <c r="H174">
        <f>INDEX(표2[번호],MATCH(LEFT(A174,1),표2[코드],0))</f>
        <v>9</v>
      </c>
      <c r="I174" t="str">
        <f>VLOOKUP(C174,표1[],6,FALSE)</f>
        <v>의창구</v>
      </c>
      <c r="J174" t="str">
        <f>VLOOKUP(C174,표1[],7,FALSE)</f>
        <v>의창동</v>
      </c>
    </row>
    <row r="175" spans="1:10" x14ac:dyDescent="0.3">
      <c r="A175" s="8" t="s">
        <v>711</v>
      </c>
      <c r="B175" s="8" t="s">
        <v>712</v>
      </c>
      <c r="C175" s="8">
        <v>16</v>
      </c>
      <c r="D175" s="8" t="s">
        <v>713</v>
      </c>
      <c r="E175" s="9">
        <v>5000</v>
      </c>
      <c r="F175" t="b">
        <f>COUNTIF(표5[상품번호],상품!A175) &gt;0</f>
        <v>0</v>
      </c>
      <c r="G175">
        <f>COUNTIF(표4[상품번호],상품!A175)</f>
        <v>0</v>
      </c>
      <c r="H175">
        <f>INDEX(표2[번호],MATCH(LEFT(A175,1),표2[코드],0))</f>
        <v>9</v>
      </c>
      <c r="I175" t="str">
        <f>VLOOKUP(C175,표1[],6,FALSE)</f>
        <v>마산합포구</v>
      </c>
      <c r="J175" t="str">
        <f>VLOOKUP(C175,표1[],7,FALSE)</f>
        <v>교방동</v>
      </c>
    </row>
    <row r="176" spans="1:10" x14ac:dyDescent="0.3">
      <c r="A176" s="8" t="s">
        <v>224</v>
      </c>
      <c r="B176" s="8" t="s">
        <v>714</v>
      </c>
      <c r="C176" s="8">
        <v>25</v>
      </c>
      <c r="D176" s="8" t="s">
        <v>715</v>
      </c>
      <c r="E176" s="9">
        <v>6000</v>
      </c>
      <c r="F176" t="b">
        <f>COUNTIF(표5[상품번호],상품!A176) &gt;0</f>
        <v>0</v>
      </c>
      <c r="G176">
        <f>COUNTIF(표4[상품번호],상품!A176)</f>
        <v>1</v>
      </c>
      <c r="H176">
        <f>INDEX(표2[번호],MATCH(LEFT(A176,1),표2[코드],0))</f>
        <v>9</v>
      </c>
      <c r="I176" t="str">
        <f>VLOOKUP(C176,표1[],6,FALSE)</f>
        <v>마산회원구</v>
      </c>
      <c r="J176" t="str">
        <f>VLOOKUP(C176,표1[],7,FALSE)</f>
        <v>양덕2동</v>
      </c>
    </row>
    <row r="177" spans="1:10" x14ac:dyDescent="0.3">
      <c r="A177" s="8" t="s">
        <v>716</v>
      </c>
      <c r="B177" s="8" t="s">
        <v>717</v>
      </c>
      <c r="C177" s="8">
        <v>23</v>
      </c>
      <c r="D177" s="8" t="s">
        <v>718</v>
      </c>
      <c r="E177" s="9">
        <v>1000</v>
      </c>
      <c r="F177" t="b">
        <f>COUNTIF(표5[상품번호],상품!A177) &gt;0</f>
        <v>0</v>
      </c>
      <c r="G177">
        <f>COUNTIF(표4[상품번호],상품!A177)</f>
        <v>0</v>
      </c>
      <c r="H177">
        <f>INDEX(표2[번호],MATCH(LEFT(A177,1),표2[코드],0))</f>
        <v>9</v>
      </c>
      <c r="I177" t="str">
        <f>VLOOKUP(C177,표1[],6,FALSE)</f>
        <v>진해구</v>
      </c>
      <c r="J177" t="str">
        <f>VLOOKUP(C177,표1[],7,FALSE)</f>
        <v>태평동</v>
      </c>
    </row>
    <row r="178" spans="1:10" x14ac:dyDescent="0.3">
      <c r="A178" s="8" t="s">
        <v>719</v>
      </c>
      <c r="B178" s="8" t="s">
        <v>720</v>
      </c>
      <c r="C178" s="8">
        <v>13</v>
      </c>
      <c r="D178" s="8" t="s">
        <v>721</v>
      </c>
      <c r="E178" s="9">
        <v>3000</v>
      </c>
      <c r="F178" t="b">
        <f>COUNTIF(표5[상품번호],상품!A178) &gt;0</f>
        <v>0</v>
      </c>
      <c r="G178">
        <f>COUNTIF(표4[상품번호],상품!A178)</f>
        <v>0</v>
      </c>
      <c r="H178">
        <f>INDEX(표2[번호],MATCH(LEFT(A178,1),표2[코드],0))</f>
        <v>9</v>
      </c>
      <c r="I178" t="str">
        <f>VLOOKUP(C178,표1[],6,FALSE)</f>
        <v>마산회원구</v>
      </c>
      <c r="J178" t="str">
        <f>VLOOKUP(C178,표1[],7,FALSE)</f>
        <v>봉암동</v>
      </c>
    </row>
    <row r="179" spans="1:10" x14ac:dyDescent="0.3">
      <c r="A179" s="8" t="s">
        <v>722</v>
      </c>
      <c r="B179" s="8" t="s">
        <v>723</v>
      </c>
      <c r="C179" s="8">
        <v>17</v>
      </c>
      <c r="D179" s="8" t="s">
        <v>724</v>
      </c>
      <c r="E179" s="9">
        <v>7000</v>
      </c>
      <c r="F179" t="b">
        <f>COUNTIF(표5[상품번호],상품!A179) &gt;0</f>
        <v>0</v>
      </c>
      <c r="G179">
        <f>COUNTIF(표4[상품번호],상품!A179)</f>
        <v>0</v>
      </c>
      <c r="H179">
        <f>INDEX(표2[번호],MATCH(LEFT(A179,1),표2[코드],0))</f>
        <v>9</v>
      </c>
      <c r="I179" t="str">
        <f>VLOOKUP(C179,표1[],6,FALSE)</f>
        <v>진해구</v>
      </c>
      <c r="J179" t="str">
        <f>VLOOKUP(C179,표1[],7,FALSE)</f>
        <v>덕산동</v>
      </c>
    </row>
    <row r="180" spans="1:10" x14ac:dyDescent="0.3">
      <c r="A180" s="8" t="s">
        <v>220</v>
      </c>
      <c r="B180" s="8" t="s">
        <v>725</v>
      </c>
      <c r="C180" s="8">
        <v>19</v>
      </c>
      <c r="D180" s="8" t="s">
        <v>726</v>
      </c>
      <c r="E180" s="9">
        <v>4000</v>
      </c>
      <c r="F180" t="b">
        <f>COUNTIF(표5[상품번호],상품!A180) &gt;0</f>
        <v>1</v>
      </c>
      <c r="G180">
        <f>COUNTIF(표4[상품번호],상품!A180)</f>
        <v>2</v>
      </c>
      <c r="H180">
        <f>INDEX(표2[번호],MATCH(LEFT(A180,1),표2[코드],0))</f>
        <v>9</v>
      </c>
      <c r="I180" t="str">
        <f>VLOOKUP(C180,표1[],6,FALSE)</f>
        <v>마산회원구</v>
      </c>
      <c r="J180" t="str">
        <f>VLOOKUP(C180,표1[],7,FALSE)</f>
        <v>양덕1동</v>
      </c>
    </row>
    <row r="181" spans="1:10" x14ac:dyDescent="0.3">
      <c r="A181" s="8" t="s">
        <v>221</v>
      </c>
      <c r="B181" s="8" t="s">
        <v>727</v>
      </c>
      <c r="C181" s="8">
        <v>24</v>
      </c>
      <c r="D181" s="8" t="s">
        <v>728</v>
      </c>
      <c r="E181" s="9">
        <v>50000</v>
      </c>
      <c r="F181" t="b">
        <f>COUNTIF(표5[상품번호],상품!A181) &gt;0</f>
        <v>0</v>
      </c>
      <c r="G181">
        <f>COUNTIF(표4[상품번호],상품!A181)</f>
        <v>2</v>
      </c>
      <c r="H181">
        <f>INDEX(표2[번호],MATCH(LEFT(A181,1),표2[코드],0))</f>
        <v>9</v>
      </c>
      <c r="I181" t="str">
        <f>VLOOKUP(C181,표1[],6,FALSE)</f>
        <v>마산합포구</v>
      </c>
      <c r="J181" t="str">
        <f>VLOOKUP(C181,표1[],7,FALSE)</f>
        <v>합포동</v>
      </c>
    </row>
    <row r="182" spans="1:10" x14ac:dyDescent="0.3">
      <c r="A182" s="8" t="s">
        <v>729</v>
      </c>
      <c r="B182" s="8" t="s">
        <v>730</v>
      </c>
      <c r="C182" s="8">
        <v>1</v>
      </c>
      <c r="D182" s="8" t="s">
        <v>731</v>
      </c>
      <c r="E182" s="9">
        <v>3000</v>
      </c>
      <c r="F182" t="b">
        <f>COUNTIF(표5[상품번호],상품!A182) &gt;0</f>
        <v>0</v>
      </c>
      <c r="G182">
        <f>COUNTIF(표4[상품번호],상품!A182)</f>
        <v>0</v>
      </c>
      <c r="H182">
        <f>INDEX(표2[번호],MATCH(LEFT(A182,1),표2[코드],0))</f>
        <v>10</v>
      </c>
      <c r="I182" t="str">
        <f>VLOOKUP(C182,표1[],6,FALSE)</f>
        <v>성산구</v>
      </c>
      <c r="J182" t="str">
        <f>VLOOKUP(C182,표1[],7,FALSE)</f>
        <v>중앙동</v>
      </c>
    </row>
    <row r="183" spans="1:10" x14ac:dyDescent="0.3">
      <c r="A183" s="8" t="s">
        <v>732</v>
      </c>
      <c r="B183" s="8" t="s">
        <v>733</v>
      </c>
      <c r="C183" s="8">
        <v>9</v>
      </c>
      <c r="D183" s="8" t="s">
        <v>734</v>
      </c>
      <c r="E183" s="9">
        <v>5000</v>
      </c>
      <c r="F183" t="b">
        <f>COUNTIF(표5[상품번호],상품!A183) &gt;0</f>
        <v>0</v>
      </c>
      <c r="G183">
        <f>COUNTIF(표4[상품번호],상품!A183)</f>
        <v>0</v>
      </c>
      <c r="H183">
        <f>INDEX(표2[번호],MATCH(LEFT(A183,1),표2[코드],0))</f>
        <v>10</v>
      </c>
      <c r="I183" t="str">
        <f>VLOOKUP(C183,표1[],6,FALSE)</f>
        <v>마산합포구</v>
      </c>
      <c r="J183" t="str">
        <f>VLOOKUP(C183,표1[],7,FALSE)</f>
        <v>월영동</v>
      </c>
    </row>
    <row r="184" spans="1:10" x14ac:dyDescent="0.3">
      <c r="A184" s="8" t="s">
        <v>735</v>
      </c>
      <c r="B184" s="8" t="s">
        <v>736</v>
      </c>
      <c r="C184" s="8">
        <v>11</v>
      </c>
      <c r="D184" s="8" t="s">
        <v>737</v>
      </c>
      <c r="E184" s="9">
        <v>3000</v>
      </c>
      <c r="F184" t="b">
        <f>COUNTIF(표5[상품번호],상품!A184) &gt;0</f>
        <v>0</v>
      </c>
      <c r="G184">
        <f>COUNTIF(표4[상품번호],상품!A184)</f>
        <v>0</v>
      </c>
      <c r="H184">
        <f>INDEX(표2[번호],MATCH(LEFT(A184,1),표2[코드],0))</f>
        <v>10</v>
      </c>
      <c r="I184" t="str">
        <f>VLOOKUP(C184,표1[],6,FALSE)</f>
        <v>의창구</v>
      </c>
      <c r="J184" t="str">
        <f>VLOOKUP(C184,표1[],7,FALSE)</f>
        <v>팔룡동</v>
      </c>
    </row>
    <row r="185" spans="1:10" x14ac:dyDescent="0.3">
      <c r="A185" s="8" t="s">
        <v>738</v>
      </c>
      <c r="B185" s="8" t="s">
        <v>739</v>
      </c>
      <c r="C185" s="8">
        <v>4</v>
      </c>
      <c r="D185" s="8" t="s">
        <v>740</v>
      </c>
      <c r="E185" s="9">
        <v>2000</v>
      </c>
      <c r="F185" t="b">
        <f>COUNTIF(표5[상품번호],상품!A185) &gt;0</f>
        <v>0</v>
      </c>
      <c r="G185">
        <f>COUNTIF(표4[상품번호],상품!A185)</f>
        <v>0</v>
      </c>
      <c r="H185">
        <f>INDEX(표2[번호],MATCH(LEFT(A185,1),표2[코드],0))</f>
        <v>10</v>
      </c>
      <c r="I185" t="str">
        <f>VLOOKUP(C185,표1[],6,FALSE)</f>
        <v>마산합포구</v>
      </c>
      <c r="J185" t="str">
        <f>VLOOKUP(C185,표1[],7,FALSE)</f>
        <v>현동</v>
      </c>
    </row>
    <row r="186" spans="1:10" x14ac:dyDescent="0.3">
      <c r="A186" s="8" t="s">
        <v>741</v>
      </c>
      <c r="B186" s="8" t="s">
        <v>742</v>
      </c>
      <c r="C186" s="8">
        <v>7</v>
      </c>
      <c r="D186" s="8" t="s">
        <v>743</v>
      </c>
      <c r="E186" s="9">
        <v>4000</v>
      </c>
      <c r="F186" t="b">
        <f>COUNTIF(표5[상품번호],상품!A186) &gt;0</f>
        <v>1</v>
      </c>
      <c r="G186">
        <f>COUNTIF(표4[상품번호],상품!A186)</f>
        <v>0</v>
      </c>
      <c r="H186">
        <f>INDEX(표2[번호],MATCH(LEFT(A186,1),표2[코드],0))</f>
        <v>10</v>
      </c>
      <c r="I186" t="str">
        <f>VLOOKUP(C186,표1[],6,FALSE)</f>
        <v>진해구</v>
      </c>
      <c r="J186" t="str">
        <f>VLOOKUP(C186,표1[],7,FALSE)</f>
        <v>경화동</v>
      </c>
    </row>
    <row r="187" spans="1:10" x14ac:dyDescent="0.3">
      <c r="A187" s="8" t="s">
        <v>744</v>
      </c>
      <c r="B187" s="8" t="s">
        <v>745</v>
      </c>
      <c r="C187" s="8">
        <v>20</v>
      </c>
      <c r="D187" s="8" t="s">
        <v>746</v>
      </c>
      <c r="E187" s="9">
        <v>5000</v>
      </c>
      <c r="F187" t="b">
        <f>COUNTIF(표5[상품번호],상품!A187) &gt;0</f>
        <v>0</v>
      </c>
      <c r="G187">
        <f>COUNTIF(표4[상품번호],상품!A187)</f>
        <v>0</v>
      </c>
      <c r="H187">
        <f>INDEX(표2[번호],MATCH(LEFT(A187,1),표2[코드],0))</f>
        <v>10</v>
      </c>
      <c r="I187" t="str">
        <f>VLOOKUP(C187,표1[],6,FALSE)</f>
        <v>마산합포구</v>
      </c>
      <c r="J187" t="str">
        <f>VLOOKUP(C187,표1[],7,FALSE)</f>
        <v>간호동</v>
      </c>
    </row>
    <row r="188" spans="1:10" x14ac:dyDescent="0.3">
      <c r="A188" s="8" t="s">
        <v>747</v>
      </c>
      <c r="B188" s="8" t="s">
        <v>748</v>
      </c>
      <c r="C188" s="8">
        <v>15</v>
      </c>
      <c r="D188" s="8" t="s">
        <v>731</v>
      </c>
      <c r="E188" s="9">
        <v>10000</v>
      </c>
      <c r="F188" t="b">
        <f>COUNTIF(표5[상품번호],상품!A188) &gt;0</f>
        <v>0</v>
      </c>
      <c r="G188">
        <f>COUNTIF(표4[상품번호],상품!A188)</f>
        <v>0</v>
      </c>
      <c r="H188">
        <f>INDEX(표2[번호],MATCH(LEFT(A188,1),표2[코드],0))</f>
        <v>10</v>
      </c>
      <c r="I188" t="str">
        <f>VLOOKUP(C188,표1[],6,FALSE)</f>
        <v>의창구</v>
      </c>
      <c r="J188" t="str">
        <f>VLOOKUP(C188,표1[],7,FALSE)</f>
        <v>명곡동</v>
      </c>
    </row>
    <row r="189" spans="1:10" x14ac:dyDescent="0.3">
      <c r="A189" s="8" t="s">
        <v>210</v>
      </c>
      <c r="B189" s="8" t="s">
        <v>749</v>
      </c>
      <c r="C189" s="8">
        <v>6</v>
      </c>
      <c r="D189" s="8" t="s">
        <v>750</v>
      </c>
      <c r="E189" s="9">
        <v>10000</v>
      </c>
      <c r="F189" t="b">
        <f>COUNTIF(표5[상품번호],상품!A189) &gt;0</f>
        <v>1</v>
      </c>
      <c r="G189">
        <f>COUNTIF(표4[상품번호],상품!A189)</f>
        <v>2</v>
      </c>
      <c r="H189">
        <f>INDEX(표2[번호],MATCH(LEFT(A189,1),표2[코드],0))</f>
        <v>10</v>
      </c>
      <c r="I189" t="str">
        <f>VLOOKUP(C189,표1[],6,FALSE)</f>
        <v>성산구</v>
      </c>
      <c r="J189" t="str">
        <f>VLOOKUP(C189,표1[],7,FALSE)</f>
        <v>중앙동</v>
      </c>
    </row>
    <row r="190" spans="1:10" x14ac:dyDescent="0.3">
      <c r="A190" s="8" t="s">
        <v>751</v>
      </c>
      <c r="B190" s="8" t="s">
        <v>752</v>
      </c>
      <c r="C190" s="8">
        <v>2</v>
      </c>
      <c r="D190" s="8" t="s">
        <v>753</v>
      </c>
      <c r="E190" s="9">
        <v>7000</v>
      </c>
      <c r="F190" t="b">
        <f>COUNTIF(표5[상품번호],상품!A190) &gt;0</f>
        <v>0</v>
      </c>
      <c r="G190">
        <f>COUNTIF(표4[상품번호],상품!A190)</f>
        <v>0</v>
      </c>
      <c r="H190">
        <f>INDEX(표2[번호],MATCH(LEFT(A190,1),표2[코드],0))</f>
        <v>10</v>
      </c>
      <c r="I190" t="str">
        <f>VLOOKUP(C190,표1[],6,FALSE)</f>
        <v>진해구</v>
      </c>
      <c r="J190" t="str">
        <f>VLOOKUP(C190,표1[],7,FALSE)</f>
        <v>충무동</v>
      </c>
    </row>
    <row r="191" spans="1:10" x14ac:dyDescent="0.3">
      <c r="A191" s="8" t="s">
        <v>197</v>
      </c>
      <c r="B191" s="8" t="s">
        <v>754</v>
      </c>
      <c r="C191" s="8">
        <v>22</v>
      </c>
      <c r="D191" s="8" t="s">
        <v>755</v>
      </c>
      <c r="E191" s="9">
        <v>6000</v>
      </c>
      <c r="F191" t="b">
        <f>COUNTIF(표5[상품번호],상품!A191) &gt;0</f>
        <v>0</v>
      </c>
      <c r="G191">
        <f>COUNTIF(표4[상품번호],상품!A191)</f>
        <v>2</v>
      </c>
      <c r="H191">
        <f>INDEX(표2[번호],MATCH(LEFT(A191,1),표2[코드],0))</f>
        <v>10</v>
      </c>
      <c r="I191" t="str">
        <f>VLOOKUP(C191,표1[],6,FALSE)</f>
        <v>의창구</v>
      </c>
      <c r="J191" t="str">
        <f>VLOOKUP(C191,표1[],7,FALSE)</f>
        <v>용지동</v>
      </c>
    </row>
    <row r="192" spans="1:10" x14ac:dyDescent="0.3">
      <c r="A192" s="8" t="s">
        <v>756</v>
      </c>
      <c r="B192" s="8" t="s">
        <v>757</v>
      </c>
      <c r="C192" s="8">
        <v>21</v>
      </c>
      <c r="D192" s="8" t="s">
        <v>758</v>
      </c>
      <c r="E192" s="9">
        <v>5000</v>
      </c>
      <c r="F192" t="b">
        <f>COUNTIF(표5[상품번호],상품!A192) &gt;0</f>
        <v>1</v>
      </c>
      <c r="G192">
        <f>COUNTIF(표4[상품번호],상품!A192)</f>
        <v>0</v>
      </c>
      <c r="H192">
        <f>INDEX(표2[번호],MATCH(LEFT(A192,1),표2[코드],0))</f>
        <v>10</v>
      </c>
      <c r="I192" t="str">
        <f>VLOOKUP(C192,표1[],6,FALSE)</f>
        <v>성산구</v>
      </c>
      <c r="J192" t="str">
        <f>VLOOKUP(C192,표1[],7,FALSE)</f>
        <v>웅남동</v>
      </c>
    </row>
    <row r="193" spans="1:10" x14ac:dyDescent="0.3">
      <c r="A193" s="8" t="s">
        <v>759</v>
      </c>
      <c r="B193" s="8" t="s">
        <v>760</v>
      </c>
      <c r="C193" s="8">
        <v>12</v>
      </c>
      <c r="D193" s="8" t="s">
        <v>761</v>
      </c>
      <c r="E193" s="9">
        <v>2000</v>
      </c>
      <c r="F193" t="b">
        <f>COUNTIF(표5[상품번호],상품!A193) &gt;0</f>
        <v>0</v>
      </c>
      <c r="G193">
        <f>COUNTIF(표4[상품번호],상품!A193)</f>
        <v>0</v>
      </c>
      <c r="H193">
        <f>INDEX(표2[번호],MATCH(LEFT(A193,1),표2[코드],0))</f>
        <v>10</v>
      </c>
      <c r="I193" t="str">
        <f>VLOOKUP(C193,표1[],6,FALSE)</f>
        <v>진해구</v>
      </c>
      <c r="J193" t="str">
        <f>VLOOKUP(C193,표1[],7,FALSE)</f>
        <v>자은동</v>
      </c>
    </row>
    <row r="194" spans="1:10" x14ac:dyDescent="0.3">
      <c r="A194" s="8" t="s">
        <v>762</v>
      </c>
      <c r="B194" s="8" t="s">
        <v>763</v>
      </c>
      <c r="C194" s="8">
        <v>14</v>
      </c>
      <c r="D194" s="8" t="s">
        <v>764</v>
      </c>
      <c r="E194" s="9">
        <v>2000</v>
      </c>
      <c r="F194" t="b">
        <f>COUNTIF(표5[상품번호],상품!A194) &gt;0</f>
        <v>0</v>
      </c>
      <c r="G194">
        <f>COUNTIF(표4[상품번호],상품!A194)</f>
        <v>0</v>
      </c>
      <c r="H194">
        <f>INDEX(표2[번호],MATCH(LEFT(A194,1),표2[코드],0))</f>
        <v>10</v>
      </c>
      <c r="I194" t="str">
        <f>VLOOKUP(C194,표1[],6,FALSE)</f>
        <v>성산구</v>
      </c>
      <c r="J194" t="str">
        <f>VLOOKUP(C194,표1[],7,FALSE)</f>
        <v>가음정동</v>
      </c>
    </row>
    <row r="195" spans="1:10" x14ac:dyDescent="0.3">
      <c r="A195" s="8" t="s">
        <v>765</v>
      </c>
      <c r="B195" s="8" t="s">
        <v>766</v>
      </c>
      <c r="C195" s="8">
        <v>18</v>
      </c>
      <c r="D195" s="8" t="s">
        <v>767</v>
      </c>
      <c r="E195" s="9">
        <v>3000</v>
      </c>
      <c r="F195" t="b">
        <f>COUNTIF(표5[상품번호],상품!A195) &gt;0</f>
        <v>0</v>
      </c>
      <c r="G195">
        <f>COUNTIF(표4[상품번호],상품!A195)</f>
        <v>0</v>
      </c>
      <c r="H195">
        <f>INDEX(표2[번호],MATCH(LEFT(A195,1),표2[코드],0))</f>
        <v>10</v>
      </c>
      <c r="I195" t="str">
        <f>VLOOKUP(C195,표1[],6,FALSE)</f>
        <v>의창구</v>
      </c>
      <c r="J195" t="str">
        <f>VLOOKUP(C195,표1[],7,FALSE)</f>
        <v>봉림동</v>
      </c>
    </row>
    <row r="196" spans="1:10" x14ac:dyDescent="0.3">
      <c r="A196" s="8" t="s">
        <v>768</v>
      </c>
      <c r="B196" s="8" t="s">
        <v>769</v>
      </c>
      <c r="C196" s="8">
        <v>3</v>
      </c>
      <c r="D196" s="8" t="s">
        <v>770</v>
      </c>
      <c r="E196" s="9">
        <v>1000</v>
      </c>
      <c r="F196" t="b">
        <f>COUNTIF(표5[상품번호],상품!A196) &gt;0</f>
        <v>1</v>
      </c>
      <c r="G196">
        <f>COUNTIF(표4[상품번호],상품!A196)</f>
        <v>0</v>
      </c>
      <c r="H196">
        <f>INDEX(표2[번호],MATCH(LEFT(A196,1),표2[코드],0))</f>
        <v>10</v>
      </c>
      <c r="I196" t="str">
        <f>VLOOKUP(C196,표1[],6,FALSE)</f>
        <v>마산회원구</v>
      </c>
      <c r="J196" t="str">
        <f>VLOOKUP(C196,표1[],7,FALSE)</f>
        <v>석전동</v>
      </c>
    </row>
    <row r="197" spans="1:10" x14ac:dyDescent="0.3">
      <c r="A197" s="8" t="s">
        <v>771</v>
      </c>
      <c r="B197" s="8" t="s">
        <v>772</v>
      </c>
      <c r="C197" s="8">
        <v>10</v>
      </c>
      <c r="D197" s="8" t="s">
        <v>773</v>
      </c>
      <c r="E197" s="9">
        <v>3000</v>
      </c>
      <c r="F197" t="b">
        <f>COUNTIF(표5[상품번호],상품!A197) &gt;0</f>
        <v>0</v>
      </c>
      <c r="G197">
        <f>COUNTIF(표4[상품번호],상품!A197)</f>
        <v>0</v>
      </c>
      <c r="H197">
        <f>INDEX(표2[번호],MATCH(LEFT(A197,1),표2[코드],0))</f>
        <v>10</v>
      </c>
      <c r="I197" t="str">
        <f>VLOOKUP(C197,표1[],6,FALSE)</f>
        <v>성산구</v>
      </c>
      <c r="J197" t="str">
        <f>VLOOKUP(C197,표1[],7,FALSE)</f>
        <v>사파동</v>
      </c>
    </row>
    <row r="198" spans="1:10" x14ac:dyDescent="0.3">
      <c r="A198" s="8" t="s">
        <v>774</v>
      </c>
      <c r="B198" s="8" t="s">
        <v>775</v>
      </c>
      <c r="C198" s="8">
        <v>8</v>
      </c>
      <c r="D198" s="8" t="s">
        <v>776</v>
      </c>
      <c r="E198" s="9">
        <v>3000</v>
      </c>
      <c r="F198" t="b">
        <f>COUNTIF(표5[상품번호],상품!A198) &gt;0</f>
        <v>0</v>
      </c>
      <c r="G198">
        <f>COUNTIF(표4[상품번호],상품!A198)</f>
        <v>0</v>
      </c>
      <c r="H198">
        <f>INDEX(표2[번호],MATCH(LEFT(A198,1),표2[코드],0))</f>
        <v>10</v>
      </c>
      <c r="I198" t="str">
        <f>VLOOKUP(C198,표1[],6,FALSE)</f>
        <v>마산회원구</v>
      </c>
      <c r="J198" t="str">
        <f>VLOOKUP(C198,표1[],7,FALSE)</f>
        <v>회성동</v>
      </c>
    </row>
    <row r="199" spans="1:10" x14ac:dyDescent="0.3">
      <c r="A199" s="8" t="s">
        <v>222</v>
      </c>
      <c r="B199" s="8" t="s">
        <v>777</v>
      </c>
      <c r="C199" s="8">
        <v>5</v>
      </c>
      <c r="D199" s="8" t="s">
        <v>778</v>
      </c>
      <c r="E199" s="9">
        <v>4000</v>
      </c>
      <c r="F199" t="b">
        <f>COUNTIF(표5[상품번호],상품!A199) &gt;0</f>
        <v>0</v>
      </c>
      <c r="G199">
        <f>COUNTIF(표4[상품번호],상품!A199)</f>
        <v>3</v>
      </c>
      <c r="H199">
        <f>INDEX(표2[번호],MATCH(LEFT(A199,1),표2[코드],0))</f>
        <v>10</v>
      </c>
      <c r="I199" t="str">
        <f>VLOOKUP(C199,표1[],6,FALSE)</f>
        <v>의창구</v>
      </c>
      <c r="J199" t="str">
        <f>VLOOKUP(C199,표1[],7,FALSE)</f>
        <v>의창동</v>
      </c>
    </row>
    <row r="200" spans="1:10" x14ac:dyDescent="0.3">
      <c r="A200" s="8" t="s">
        <v>779</v>
      </c>
      <c r="B200" s="8" t="s">
        <v>780</v>
      </c>
      <c r="C200" s="8">
        <v>16</v>
      </c>
      <c r="D200" s="8" t="s">
        <v>781</v>
      </c>
      <c r="E200" s="9">
        <v>3000</v>
      </c>
      <c r="F200" t="b">
        <f>COUNTIF(표5[상품번호],상품!A200) &gt;0</f>
        <v>0</v>
      </c>
      <c r="G200">
        <f>COUNTIF(표4[상품번호],상품!A200)</f>
        <v>0</v>
      </c>
      <c r="H200">
        <f>INDEX(표2[번호],MATCH(LEFT(A200,1),표2[코드],0))</f>
        <v>10</v>
      </c>
      <c r="I200" t="str">
        <f>VLOOKUP(C200,표1[],6,FALSE)</f>
        <v>마산합포구</v>
      </c>
      <c r="J200" t="str">
        <f>VLOOKUP(C200,표1[],7,FALSE)</f>
        <v>교방동</v>
      </c>
    </row>
    <row r="201" spans="1:10" x14ac:dyDescent="0.3">
      <c r="A201" s="8" t="s">
        <v>782</v>
      </c>
      <c r="B201" s="8" t="s">
        <v>783</v>
      </c>
      <c r="C201" s="8">
        <v>25</v>
      </c>
      <c r="D201" s="8" t="s">
        <v>784</v>
      </c>
      <c r="E201" s="9">
        <v>4000</v>
      </c>
      <c r="F201" t="b">
        <f>COUNTIF(표5[상품번호],상품!A201) &gt;0</f>
        <v>0</v>
      </c>
      <c r="G201">
        <f>COUNTIF(표4[상품번호],상품!A201)</f>
        <v>0</v>
      </c>
      <c r="H201">
        <f>INDEX(표2[번호],MATCH(LEFT(A201,1),표2[코드],0))</f>
        <v>10</v>
      </c>
      <c r="I201" t="str">
        <f>VLOOKUP(C201,표1[],6,FALSE)</f>
        <v>마산회원구</v>
      </c>
      <c r="J201" t="str">
        <f>VLOOKUP(C201,표1[],7,FALSE)</f>
        <v>양덕2동</v>
      </c>
    </row>
    <row r="202" spans="1:10" x14ac:dyDescent="0.3">
      <c r="A202" s="8" t="s">
        <v>204</v>
      </c>
      <c r="B202" s="8" t="s">
        <v>785</v>
      </c>
      <c r="C202" s="8">
        <v>10</v>
      </c>
      <c r="D202" s="8" t="s">
        <v>786</v>
      </c>
      <c r="E202" s="9">
        <v>5000</v>
      </c>
      <c r="F202" t="b">
        <f>COUNTIF(표5[상품번호],상품!A202) &gt;0</f>
        <v>1</v>
      </c>
      <c r="G202">
        <f>COUNTIF(표4[상품번호],상품!A202)</f>
        <v>1</v>
      </c>
      <c r="H202">
        <f>INDEX(표2[번호],MATCH(LEFT(A202,1),표2[코드],0))</f>
        <v>11</v>
      </c>
      <c r="I202" t="str">
        <f>VLOOKUP(C202,표1[],6,FALSE)</f>
        <v>성산구</v>
      </c>
      <c r="J202" t="str">
        <f>VLOOKUP(C202,표1[],7,FALSE)</f>
        <v>사파동</v>
      </c>
    </row>
    <row r="203" spans="1:10" x14ac:dyDescent="0.3">
      <c r="A203" s="8" t="s">
        <v>787</v>
      </c>
      <c r="B203" s="8" t="s">
        <v>566</v>
      </c>
      <c r="C203" s="8">
        <v>8</v>
      </c>
      <c r="D203" s="8" t="s">
        <v>788</v>
      </c>
      <c r="E203" s="9">
        <v>8000</v>
      </c>
      <c r="F203" t="b">
        <f>COUNTIF(표5[상품번호],상품!A203) &gt;0</f>
        <v>0</v>
      </c>
      <c r="G203">
        <f>COUNTIF(표4[상품번호],상품!A203)</f>
        <v>0</v>
      </c>
      <c r="H203">
        <f>INDEX(표2[번호],MATCH(LEFT(A203,1),표2[코드],0))</f>
        <v>11</v>
      </c>
      <c r="I203" t="str">
        <f>VLOOKUP(C203,표1[],6,FALSE)</f>
        <v>마산회원구</v>
      </c>
      <c r="J203" t="str">
        <f>VLOOKUP(C203,표1[],7,FALSE)</f>
        <v>회성동</v>
      </c>
    </row>
    <row r="204" spans="1:10" x14ac:dyDescent="0.3">
      <c r="A204" s="8" t="s">
        <v>789</v>
      </c>
      <c r="B204" s="8" t="s">
        <v>790</v>
      </c>
      <c r="C204" s="8">
        <v>5</v>
      </c>
      <c r="D204" s="8" t="s">
        <v>791</v>
      </c>
      <c r="E204" s="9">
        <v>12000</v>
      </c>
      <c r="F204" t="b">
        <f>COUNTIF(표5[상품번호],상품!A204) &gt;0</f>
        <v>1</v>
      </c>
      <c r="G204">
        <f>COUNTIF(표4[상품번호],상품!A204)</f>
        <v>0</v>
      </c>
      <c r="H204">
        <f>INDEX(표2[번호],MATCH(LEFT(A204,1),표2[코드],0))</f>
        <v>11</v>
      </c>
      <c r="I204" t="str">
        <f>VLOOKUP(C204,표1[],6,FALSE)</f>
        <v>의창구</v>
      </c>
      <c r="J204" t="str">
        <f>VLOOKUP(C204,표1[],7,FALSE)</f>
        <v>의창동</v>
      </c>
    </row>
    <row r="205" spans="1:10" x14ac:dyDescent="0.3">
      <c r="A205" s="8" t="s">
        <v>792</v>
      </c>
      <c r="B205" s="8" t="s">
        <v>793</v>
      </c>
      <c r="C205" s="8">
        <v>16</v>
      </c>
      <c r="D205" s="8" t="s">
        <v>794</v>
      </c>
      <c r="E205" s="9">
        <v>50000</v>
      </c>
      <c r="F205" t="b">
        <f>COUNTIF(표5[상품번호],상품!A205) &gt;0</f>
        <v>0</v>
      </c>
      <c r="G205">
        <f>COUNTIF(표4[상품번호],상품!A205)</f>
        <v>0</v>
      </c>
      <c r="H205">
        <f>INDEX(표2[번호],MATCH(LEFT(A205,1),표2[코드],0))</f>
        <v>11</v>
      </c>
      <c r="I205" t="str">
        <f>VLOOKUP(C205,표1[],6,FALSE)</f>
        <v>마산합포구</v>
      </c>
      <c r="J205" t="str">
        <f>VLOOKUP(C205,표1[],7,FALSE)</f>
        <v>교방동</v>
      </c>
    </row>
    <row r="206" spans="1:10" x14ac:dyDescent="0.3">
      <c r="A206" s="8" t="s">
        <v>203</v>
      </c>
      <c r="B206" s="8" t="s">
        <v>795</v>
      </c>
      <c r="C206" s="8">
        <v>25</v>
      </c>
      <c r="D206" s="8" t="s">
        <v>796</v>
      </c>
      <c r="E206" s="9">
        <v>70000</v>
      </c>
      <c r="F206" t="b">
        <f>COUNTIF(표5[상품번호],상품!A206) &gt;0</f>
        <v>0</v>
      </c>
      <c r="G206">
        <f>COUNTIF(표4[상품번호],상품!A206)</f>
        <v>1</v>
      </c>
      <c r="H206">
        <f>INDEX(표2[번호],MATCH(LEFT(A206,1),표2[코드],0))</f>
        <v>11</v>
      </c>
      <c r="I206" t="str">
        <f>VLOOKUP(C206,표1[],6,FALSE)</f>
        <v>마산회원구</v>
      </c>
      <c r="J206" t="str">
        <f>VLOOKUP(C206,표1[],7,FALSE)</f>
        <v>양덕2동</v>
      </c>
    </row>
    <row r="207" spans="1:10" x14ac:dyDescent="0.3">
      <c r="A207" s="8" t="s">
        <v>797</v>
      </c>
      <c r="B207" s="8" t="s">
        <v>798</v>
      </c>
      <c r="C207" s="8">
        <v>23</v>
      </c>
      <c r="D207" s="8" t="s">
        <v>374</v>
      </c>
      <c r="E207" s="9">
        <v>30000</v>
      </c>
      <c r="F207" t="b">
        <f>COUNTIF(표5[상품번호],상품!A207) &gt;0</f>
        <v>0</v>
      </c>
      <c r="G207">
        <f>COUNTIF(표4[상품번호],상품!A207)</f>
        <v>0</v>
      </c>
      <c r="H207">
        <f>INDEX(표2[번호],MATCH(LEFT(A207,1),표2[코드],0))</f>
        <v>11</v>
      </c>
      <c r="I207" t="str">
        <f>VLOOKUP(C207,표1[],6,FALSE)</f>
        <v>진해구</v>
      </c>
      <c r="J207" t="str">
        <f>VLOOKUP(C207,표1[],7,FALSE)</f>
        <v>태평동</v>
      </c>
    </row>
    <row r="208" spans="1:10" x14ac:dyDescent="0.3">
      <c r="A208" s="8" t="s">
        <v>799</v>
      </c>
      <c r="B208" s="8" t="s">
        <v>578</v>
      </c>
      <c r="C208" s="8">
        <v>13</v>
      </c>
      <c r="D208" s="8" t="s">
        <v>800</v>
      </c>
      <c r="E208" s="9">
        <v>19000</v>
      </c>
      <c r="F208" t="b">
        <f>COUNTIF(표5[상품번호],상품!A208) &gt;0</f>
        <v>1</v>
      </c>
      <c r="G208">
        <f>COUNTIF(표4[상품번호],상품!A208)</f>
        <v>0</v>
      </c>
      <c r="H208">
        <f>INDEX(표2[번호],MATCH(LEFT(A208,1),표2[코드],0))</f>
        <v>11</v>
      </c>
      <c r="I208" t="str">
        <f>VLOOKUP(C208,표1[],6,FALSE)</f>
        <v>마산회원구</v>
      </c>
      <c r="J208" t="str">
        <f>VLOOKUP(C208,표1[],7,FALSE)</f>
        <v>봉암동</v>
      </c>
    </row>
    <row r="209" spans="1:10" x14ac:dyDescent="0.3">
      <c r="A209" s="8" t="s">
        <v>801</v>
      </c>
      <c r="B209" s="8" t="s">
        <v>581</v>
      </c>
      <c r="C209" s="8">
        <v>17</v>
      </c>
      <c r="D209" s="8" t="s">
        <v>802</v>
      </c>
      <c r="E209" s="9">
        <v>16000</v>
      </c>
      <c r="F209" t="b">
        <f>COUNTIF(표5[상품번호],상품!A209) &gt;0</f>
        <v>0</v>
      </c>
      <c r="G209">
        <f>COUNTIF(표4[상품번호],상품!A209)</f>
        <v>0</v>
      </c>
      <c r="H209">
        <f>INDEX(표2[번호],MATCH(LEFT(A209,1),표2[코드],0))</f>
        <v>11</v>
      </c>
      <c r="I209" t="str">
        <f>VLOOKUP(C209,표1[],6,FALSE)</f>
        <v>진해구</v>
      </c>
      <c r="J209" t="str">
        <f>VLOOKUP(C209,표1[],7,FALSE)</f>
        <v>덕산동</v>
      </c>
    </row>
    <row r="210" spans="1:10" x14ac:dyDescent="0.3">
      <c r="A210" s="8" t="s">
        <v>803</v>
      </c>
      <c r="B210" s="8" t="s">
        <v>804</v>
      </c>
      <c r="C210" s="8">
        <v>19</v>
      </c>
      <c r="D210" s="8" t="s">
        <v>805</v>
      </c>
      <c r="E210" s="9">
        <v>15000</v>
      </c>
      <c r="F210" t="b">
        <f>COUNTIF(표5[상품번호],상품!A210) &gt;0</f>
        <v>0</v>
      </c>
      <c r="G210">
        <f>COUNTIF(표4[상품번호],상품!A210)</f>
        <v>0</v>
      </c>
      <c r="H210">
        <f>INDEX(표2[번호],MATCH(LEFT(A210,1),표2[코드],0))</f>
        <v>11</v>
      </c>
      <c r="I210" t="str">
        <f>VLOOKUP(C210,표1[],6,FALSE)</f>
        <v>마산회원구</v>
      </c>
      <c r="J210" t="str">
        <f>VLOOKUP(C210,표1[],7,FALSE)</f>
        <v>양덕1동</v>
      </c>
    </row>
    <row r="211" spans="1:10" x14ac:dyDescent="0.3">
      <c r="A211" s="8" t="s">
        <v>806</v>
      </c>
      <c r="B211" s="8" t="s">
        <v>807</v>
      </c>
      <c r="C211" s="8">
        <v>24</v>
      </c>
      <c r="D211" s="8" t="s">
        <v>808</v>
      </c>
      <c r="E211" s="9">
        <v>14000</v>
      </c>
      <c r="F211" t="b">
        <f>COUNTIF(표5[상품번호],상품!A211) &gt;0</f>
        <v>0</v>
      </c>
      <c r="G211">
        <f>COUNTIF(표4[상품번호],상품!A211)</f>
        <v>0</v>
      </c>
      <c r="H211">
        <f>INDEX(표2[번호],MATCH(LEFT(A211,1),표2[코드],0))</f>
        <v>11</v>
      </c>
      <c r="I211" t="str">
        <f>VLOOKUP(C211,표1[],6,FALSE)</f>
        <v>마산합포구</v>
      </c>
      <c r="J211" t="str">
        <f>VLOOKUP(C211,표1[],7,FALSE)</f>
        <v>합포동</v>
      </c>
    </row>
    <row r="212" spans="1:10" x14ac:dyDescent="0.3">
      <c r="A212" s="8" t="s">
        <v>809</v>
      </c>
      <c r="B212" s="8" t="s">
        <v>587</v>
      </c>
      <c r="C212" s="8">
        <v>1</v>
      </c>
      <c r="D212" s="8" t="s">
        <v>810</v>
      </c>
      <c r="E212" s="9">
        <v>10000</v>
      </c>
      <c r="F212" t="b">
        <f>COUNTIF(표5[상품번호],상품!A212) &gt;0</f>
        <v>0</v>
      </c>
      <c r="G212">
        <f>COUNTIF(표4[상품번호],상품!A212)</f>
        <v>0</v>
      </c>
      <c r="H212">
        <f>INDEX(표2[번호],MATCH(LEFT(A212,1),표2[코드],0))</f>
        <v>11</v>
      </c>
      <c r="I212" t="str">
        <f>VLOOKUP(C212,표1[],6,FALSE)</f>
        <v>성산구</v>
      </c>
      <c r="J212" t="str">
        <f>VLOOKUP(C212,표1[],7,FALSE)</f>
        <v>중앙동</v>
      </c>
    </row>
    <row r="213" spans="1:10" x14ac:dyDescent="0.3">
      <c r="A213" s="8" t="s">
        <v>811</v>
      </c>
      <c r="B213" s="8" t="s">
        <v>812</v>
      </c>
      <c r="C213" s="8">
        <v>9</v>
      </c>
      <c r="D213" s="8" t="s">
        <v>813</v>
      </c>
      <c r="E213" s="9">
        <v>10000</v>
      </c>
      <c r="F213" t="b">
        <f>COUNTIF(표5[상품번호],상품!A213) &gt;0</f>
        <v>1</v>
      </c>
      <c r="G213">
        <f>COUNTIF(표4[상품번호],상품!A213)</f>
        <v>0</v>
      </c>
      <c r="H213">
        <f>INDEX(표2[번호],MATCH(LEFT(A213,1),표2[코드],0))</f>
        <v>11</v>
      </c>
      <c r="I213" t="str">
        <f>VLOOKUP(C213,표1[],6,FALSE)</f>
        <v>마산합포구</v>
      </c>
      <c r="J213" t="str">
        <f>VLOOKUP(C213,표1[],7,FALSE)</f>
        <v>월영동</v>
      </c>
    </row>
    <row r="214" spans="1:10" x14ac:dyDescent="0.3">
      <c r="A214" s="8" t="s">
        <v>814</v>
      </c>
      <c r="B214" s="8" t="s">
        <v>815</v>
      </c>
      <c r="C214" s="8">
        <v>11</v>
      </c>
      <c r="D214" s="8" t="s">
        <v>816</v>
      </c>
      <c r="E214" s="9">
        <v>30000</v>
      </c>
      <c r="F214" t="b">
        <f>COUNTIF(표5[상품번호],상품!A214) &gt;0</f>
        <v>0</v>
      </c>
      <c r="G214">
        <f>COUNTIF(표4[상품번호],상품!A214)</f>
        <v>0</v>
      </c>
      <c r="H214">
        <f>INDEX(표2[번호],MATCH(LEFT(A214,1),표2[코드],0))</f>
        <v>11</v>
      </c>
      <c r="I214" t="str">
        <f>VLOOKUP(C214,표1[],6,FALSE)</f>
        <v>의창구</v>
      </c>
      <c r="J214" t="str">
        <f>VLOOKUP(C214,표1[],7,FALSE)</f>
        <v>팔룡동</v>
      </c>
    </row>
    <row r="215" spans="1:10" x14ac:dyDescent="0.3">
      <c r="A215" s="8" t="s">
        <v>817</v>
      </c>
      <c r="B215" s="8" t="s">
        <v>818</v>
      </c>
      <c r="C215" s="8">
        <v>4</v>
      </c>
      <c r="D215" s="8" t="s">
        <v>374</v>
      </c>
      <c r="E215" s="9">
        <v>32000</v>
      </c>
      <c r="F215" t="b">
        <f>COUNTIF(표5[상품번호],상품!A215) &gt;0</f>
        <v>0</v>
      </c>
      <c r="G215">
        <f>COUNTIF(표4[상품번호],상품!A215)</f>
        <v>0</v>
      </c>
      <c r="H215">
        <f>INDEX(표2[번호],MATCH(LEFT(A215,1),표2[코드],0))</f>
        <v>11</v>
      </c>
      <c r="I215" t="str">
        <f>VLOOKUP(C215,표1[],6,FALSE)</f>
        <v>마산합포구</v>
      </c>
      <c r="J215" t="str">
        <f>VLOOKUP(C215,표1[],7,FALSE)</f>
        <v>현동</v>
      </c>
    </row>
    <row r="216" spans="1:10" x14ac:dyDescent="0.3">
      <c r="A216" s="8" t="s">
        <v>819</v>
      </c>
      <c r="B216" s="8" t="s">
        <v>820</v>
      </c>
      <c r="C216" s="8">
        <v>7</v>
      </c>
      <c r="D216" s="8" t="s">
        <v>821</v>
      </c>
      <c r="E216" s="9">
        <v>1000</v>
      </c>
      <c r="F216" t="b">
        <f>COUNTIF(표5[상품번호],상품!A216) &gt;0</f>
        <v>0</v>
      </c>
      <c r="G216">
        <f>COUNTIF(표4[상품번호],상품!A216)</f>
        <v>0</v>
      </c>
      <c r="H216">
        <f>INDEX(표2[번호],MATCH(LEFT(A216,1),표2[코드],0))</f>
        <v>11</v>
      </c>
      <c r="I216" t="str">
        <f>VLOOKUP(C216,표1[],6,FALSE)</f>
        <v>진해구</v>
      </c>
      <c r="J216" t="str">
        <f>VLOOKUP(C216,표1[],7,FALSE)</f>
        <v>경화동</v>
      </c>
    </row>
    <row r="217" spans="1:10" x14ac:dyDescent="0.3">
      <c r="A217" s="8" t="s">
        <v>822</v>
      </c>
      <c r="B217" s="8" t="s">
        <v>823</v>
      </c>
      <c r="C217" s="8">
        <v>20</v>
      </c>
      <c r="D217" s="8" t="s">
        <v>726</v>
      </c>
      <c r="E217" s="9">
        <v>4000</v>
      </c>
      <c r="F217" t="b">
        <f>COUNTIF(표5[상품번호],상품!A217) &gt;0</f>
        <v>0</v>
      </c>
      <c r="G217">
        <f>COUNTIF(표4[상품번호],상품!A217)</f>
        <v>0</v>
      </c>
      <c r="H217">
        <f>INDEX(표2[번호],MATCH(LEFT(A217,1),표2[코드],0))</f>
        <v>11</v>
      </c>
      <c r="I217" t="str">
        <f>VLOOKUP(C217,표1[],6,FALSE)</f>
        <v>마산합포구</v>
      </c>
      <c r="J217" t="str">
        <f>VLOOKUP(C217,표1[],7,FALSE)</f>
        <v>간호동</v>
      </c>
    </row>
    <row r="218" spans="1:10" x14ac:dyDescent="0.3">
      <c r="A218" s="8" t="s">
        <v>824</v>
      </c>
      <c r="B218" s="8" t="s">
        <v>825</v>
      </c>
      <c r="C218" s="8">
        <v>15</v>
      </c>
      <c r="D218" s="8" t="s">
        <v>826</v>
      </c>
      <c r="E218" s="9">
        <v>19900</v>
      </c>
      <c r="F218" t="b">
        <f>COUNTIF(표5[상품번호],상품!A218) &gt;0</f>
        <v>0</v>
      </c>
      <c r="G218">
        <f>COUNTIF(표4[상품번호],상품!A218)</f>
        <v>0</v>
      </c>
      <c r="H218">
        <f>INDEX(표2[번호],MATCH(LEFT(A218,1),표2[코드],0))</f>
        <v>11</v>
      </c>
      <c r="I218" t="str">
        <f>VLOOKUP(C218,표1[],6,FALSE)</f>
        <v>의창구</v>
      </c>
      <c r="J218" t="str">
        <f>VLOOKUP(C218,표1[],7,FALSE)</f>
        <v>명곡동</v>
      </c>
    </row>
    <row r="219" spans="1:10" x14ac:dyDescent="0.3">
      <c r="A219" s="8" t="s">
        <v>827</v>
      </c>
      <c r="B219" s="8" t="s">
        <v>595</v>
      </c>
      <c r="C219" s="8">
        <v>6</v>
      </c>
      <c r="D219" s="8" t="s">
        <v>828</v>
      </c>
      <c r="E219" s="9">
        <v>16000</v>
      </c>
      <c r="F219" t="b">
        <f>COUNTIF(표5[상품번호],상품!A219) &gt;0</f>
        <v>0</v>
      </c>
      <c r="G219">
        <f>COUNTIF(표4[상품번호],상품!A219)</f>
        <v>0</v>
      </c>
      <c r="H219">
        <f>INDEX(표2[번호],MATCH(LEFT(A219,1),표2[코드],0))</f>
        <v>11</v>
      </c>
      <c r="I219" t="str">
        <f>VLOOKUP(C219,표1[],6,FALSE)</f>
        <v>성산구</v>
      </c>
      <c r="J219" t="str">
        <f>VLOOKUP(C219,표1[],7,FALSE)</f>
        <v>중앙동</v>
      </c>
    </row>
    <row r="220" spans="1:10" x14ac:dyDescent="0.3">
      <c r="A220" s="8" t="s">
        <v>829</v>
      </c>
      <c r="B220" s="8" t="s">
        <v>592</v>
      </c>
      <c r="C220" s="8">
        <v>2</v>
      </c>
      <c r="D220" s="8" t="s">
        <v>376</v>
      </c>
      <c r="E220" s="9">
        <v>20000</v>
      </c>
      <c r="F220" t="b">
        <f>COUNTIF(표5[상품번호],상품!A220) &gt;0</f>
        <v>1</v>
      </c>
      <c r="G220">
        <f>COUNTIF(표4[상품번호],상품!A220)</f>
        <v>0</v>
      </c>
      <c r="H220">
        <f>INDEX(표2[번호],MATCH(LEFT(A220,1),표2[코드],0))</f>
        <v>11</v>
      </c>
      <c r="I220" t="str">
        <f>VLOOKUP(C220,표1[],6,FALSE)</f>
        <v>진해구</v>
      </c>
      <c r="J220" t="str">
        <f>VLOOKUP(C220,표1[],7,FALSE)</f>
        <v>충무동</v>
      </c>
    </row>
    <row r="221" spans="1:10" x14ac:dyDescent="0.3">
      <c r="A221" s="8" t="s">
        <v>830</v>
      </c>
      <c r="B221" s="8" t="s">
        <v>831</v>
      </c>
      <c r="C221" s="8">
        <v>22</v>
      </c>
      <c r="D221" s="8" t="s">
        <v>832</v>
      </c>
      <c r="E221" s="9">
        <v>15000</v>
      </c>
      <c r="F221" t="b">
        <f>COUNTIF(표5[상품번호],상품!A221) &gt;0</f>
        <v>0</v>
      </c>
      <c r="G221">
        <f>COUNTIF(표4[상품번호],상품!A221)</f>
        <v>0</v>
      </c>
      <c r="H221">
        <f>INDEX(표2[번호],MATCH(LEFT(A221,1),표2[코드],0))</f>
        <v>11</v>
      </c>
      <c r="I221" t="str">
        <f>VLOOKUP(C221,표1[],6,FALSE)</f>
        <v>의창구</v>
      </c>
      <c r="J221" t="str">
        <f>VLOOKUP(C221,표1[],7,FALSE)</f>
        <v>용지동</v>
      </c>
    </row>
    <row r="222" spans="1:10" x14ac:dyDescent="0.3">
      <c r="A222" s="8" t="s">
        <v>189</v>
      </c>
      <c r="B222" s="8" t="s">
        <v>833</v>
      </c>
      <c r="C222" s="8">
        <v>23</v>
      </c>
      <c r="D222" s="8" t="s">
        <v>834</v>
      </c>
      <c r="E222" s="9">
        <v>50000</v>
      </c>
      <c r="F222" t="b">
        <f>COUNTIF(표5[상품번호],상품!A222) &gt;0</f>
        <v>1</v>
      </c>
      <c r="G222">
        <f>COUNTIF(표4[상품번호],상품!A222)</f>
        <v>1</v>
      </c>
      <c r="H222">
        <f>INDEX(표2[번호],MATCH(LEFT(A222,1),표2[코드],0))</f>
        <v>12</v>
      </c>
      <c r="I222" t="str">
        <f>VLOOKUP(C222,표1[],6,FALSE)</f>
        <v>진해구</v>
      </c>
      <c r="J222" t="str">
        <f>VLOOKUP(C222,표1[],7,FALSE)</f>
        <v>태평동</v>
      </c>
    </row>
    <row r="223" spans="1:10" x14ac:dyDescent="0.3">
      <c r="A223" s="8" t="s">
        <v>205</v>
      </c>
      <c r="B223" s="8" t="s">
        <v>835</v>
      </c>
      <c r="C223" s="8">
        <v>13</v>
      </c>
      <c r="D223" s="8" t="s">
        <v>836</v>
      </c>
      <c r="E223" s="9">
        <v>16000</v>
      </c>
      <c r="F223" t="b">
        <f>COUNTIF(표5[상품번호],상품!A223) &gt;0</f>
        <v>0</v>
      </c>
      <c r="G223">
        <f>COUNTIF(표4[상품번호],상품!A223)</f>
        <v>2</v>
      </c>
      <c r="H223">
        <f>INDEX(표2[번호],MATCH(LEFT(A223,1),표2[코드],0))</f>
        <v>12</v>
      </c>
      <c r="I223" t="str">
        <f>VLOOKUP(C223,표1[],6,FALSE)</f>
        <v>마산회원구</v>
      </c>
      <c r="J223" t="str">
        <f>VLOOKUP(C223,표1[],7,FALSE)</f>
        <v>봉암동</v>
      </c>
    </row>
    <row r="224" spans="1:10" x14ac:dyDescent="0.3">
      <c r="A224" s="8" t="s">
        <v>837</v>
      </c>
      <c r="B224" s="8" t="s">
        <v>838</v>
      </c>
      <c r="C224" s="8">
        <v>17</v>
      </c>
      <c r="D224" s="8" t="s">
        <v>839</v>
      </c>
      <c r="E224" s="9">
        <v>36000</v>
      </c>
      <c r="F224" t="b">
        <f>COUNTIF(표5[상품번호],상품!A224) &gt;0</f>
        <v>0</v>
      </c>
      <c r="G224">
        <f>COUNTIF(표4[상품번호],상품!A224)</f>
        <v>0</v>
      </c>
      <c r="H224">
        <f>INDEX(표2[번호],MATCH(LEFT(A224,1),표2[코드],0))</f>
        <v>12</v>
      </c>
      <c r="I224" t="str">
        <f>VLOOKUP(C224,표1[],6,FALSE)</f>
        <v>진해구</v>
      </c>
      <c r="J224" t="str">
        <f>VLOOKUP(C224,표1[],7,FALSE)</f>
        <v>덕산동</v>
      </c>
    </row>
    <row r="225" spans="1:10" x14ac:dyDescent="0.3">
      <c r="A225" s="8" t="s">
        <v>840</v>
      </c>
      <c r="B225" s="8" t="s">
        <v>841</v>
      </c>
      <c r="C225" s="8">
        <v>19</v>
      </c>
      <c r="D225" s="8" t="s">
        <v>842</v>
      </c>
      <c r="E225" s="9">
        <v>58000</v>
      </c>
      <c r="F225" t="b">
        <f>COUNTIF(표5[상품번호],상품!A225) &gt;0</f>
        <v>0</v>
      </c>
      <c r="G225">
        <f>COUNTIF(표4[상품번호],상품!A225)</f>
        <v>0</v>
      </c>
      <c r="H225">
        <f>INDEX(표2[번호],MATCH(LEFT(A225,1),표2[코드],0))</f>
        <v>12</v>
      </c>
      <c r="I225" t="str">
        <f>VLOOKUP(C225,표1[],6,FALSE)</f>
        <v>마산회원구</v>
      </c>
      <c r="J225" t="str">
        <f>VLOOKUP(C225,표1[],7,FALSE)</f>
        <v>양덕1동</v>
      </c>
    </row>
    <row r="226" spans="1:10" x14ac:dyDescent="0.3">
      <c r="A226" s="8" t="s">
        <v>843</v>
      </c>
      <c r="B226" s="8" t="s">
        <v>844</v>
      </c>
      <c r="C226" s="8">
        <v>24</v>
      </c>
      <c r="D226" s="8" t="s">
        <v>621</v>
      </c>
      <c r="E226" s="9">
        <v>20000</v>
      </c>
      <c r="F226" t="b">
        <f>COUNTIF(표5[상품번호],상품!A226) &gt;0</f>
        <v>0</v>
      </c>
      <c r="G226">
        <f>COUNTIF(표4[상품번호],상품!A226)</f>
        <v>0</v>
      </c>
      <c r="H226">
        <f>INDEX(표2[번호],MATCH(LEFT(A226,1),표2[코드],0))</f>
        <v>12</v>
      </c>
      <c r="I226" t="str">
        <f>VLOOKUP(C226,표1[],6,FALSE)</f>
        <v>마산합포구</v>
      </c>
      <c r="J226" t="str">
        <f>VLOOKUP(C226,표1[],7,FALSE)</f>
        <v>합포동</v>
      </c>
    </row>
    <row r="227" spans="1:10" x14ac:dyDescent="0.3">
      <c r="A227" s="8" t="s">
        <v>845</v>
      </c>
      <c r="B227" s="8" t="s">
        <v>846</v>
      </c>
      <c r="C227" s="8">
        <v>1</v>
      </c>
      <c r="D227" s="8" t="s">
        <v>847</v>
      </c>
      <c r="E227" s="9">
        <v>35200</v>
      </c>
      <c r="F227" t="b">
        <f>COUNTIF(표5[상품번호],상품!A227) &gt;0</f>
        <v>0</v>
      </c>
      <c r="G227">
        <f>COUNTIF(표4[상품번호],상품!A227)</f>
        <v>0</v>
      </c>
      <c r="H227">
        <f>INDEX(표2[번호],MATCH(LEFT(A227,1),표2[코드],0))</f>
        <v>12</v>
      </c>
      <c r="I227" t="str">
        <f>VLOOKUP(C227,표1[],6,FALSE)</f>
        <v>성산구</v>
      </c>
      <c r="J227" t="str">
        <f>VLOOKUP(C227,표1[],7,FALSE)</f>
        <v>중앙동</v>
      </c>
    </row>
    <row r="228" spans="1:10" x14ac:dyDescent="0.3">
      <c r="A228" s="8" t="s">
        <v>848</v>
      </c>
      <c r="B228" s="8" t="s">
        <v>849</v>
      </c>
      <c r="C228" s="8">
        <v>9</v>
      </c>
      <c r="D228" s="8" t="s">
        <v>850</v>
      </c>
      <c r="E228" s="9">
        <v>5000</v>
      </c>
      <c r="F228" t="b">
        <f>COUNTIF(표5[상품번호],상품!A228) &gt;0</f>
        <v>0</v>
      </c>
      <c r="G228">
        <f>COUNTIF(표4[상품번호],상품!A228)</f>
        <v>0</v>
      </c>
      <c r="H228">
        <f>INDEX(표2[번호],MATCH(LEFT(A228,1),표2[코드],0))</f>
        <v>12</v>
      </c>
      <c r="I228" t="str">
        <f>VLOOKUP(C228,표1[],6,FALSE)</f>
        <v>마산합포구</v>
      </c>
      <c r="J228" t="str">
        <f>VLOOKUP(C228,표1[],7,FALSE)</f>
        <v>월영동</v>
      </c>
    </row>
    <row r="229" spans="1:10" x14ac:dyDescent="0.3">
      <c r="A229" s="8" t="s">
        <v>851</v>
      </c>
      <c r="B229" s="8" t="s">
        <v>852</v>
      </c>
      <c r="C229" s="8">
        <v>11</v>
      </c>
      <c r="D229" s="8" t="s">
        <v>853</v>
      </c>
      <c r="E229" s="9">
        <v>10000</v>
      </c>
      <c r="F229" t="b">
        <f>COUNTIF(표5[상품번호],상품!A229) &gt;0</f>
        <v>1</v>
      </c>
      <c r="G229">
        <f>COUNTIF(표4[상품번호],상품!A229)</f>
        <v>0</v>
      </c>
      <c r="H229">
        <f>INDEX(표2[번호],MATCH(LEFT(A229,1),표2[코드],0))</f>
        <v>12</v>
      </c>
      <c r="I229" t="str">
        <f>VLOOKUP(C229,표1[],6,FALSE)</f>
        <v>의창구</v>
      </c>
      <c r="J229" t="str">
        <f>VLOOKUP(C229,표1[],7,FALSE)</f>
        <v>팔룡동</v>
      </c>
    </row>
    <row r="230" spans="1:10" x14ac:dyDescent="0.3">
      <c r="A230" s="8" t="s">
        <v>854</v>
      </c>
      <c r="B230" s="8" t="s">
        <v>855</v>
      </c>
      <c r="C230" s="8">
        <v>4</v>
      </c>
      <c r="D230" s="8" t="s">
        <v>856</v>
      </c>
      <c r="E230" s="9">
        <v>1000</v>
      </c>
      <c r="F230" t="b">
        <f>COUNTIF(표5[상품번호],상품!A230) &gt;0</f>
        <v>0</v>
      </c>
      <c r="G230">
        <f>COUNTIF(표4[상품번호],상품!A230)</f>
        <v>0</v>
      </c>
      <c r="H230">
        <f>INDEX(표2[번호],MATCH(LEFT(A230,1),표2[코드],0))</f>
        <v>12</v>
      </c>
      <c r="I230" t="str">
        <f>VLOOKUP(C230,표1[],6,FALSE)</f>
        <v>마산합포구</v>
      </c>
      <c r="J230" t="str">
        <f>VLOOKUP(C230,표1[],7,FALSE)</f>
        <v>현동</v>
      </c>
    </row>
    <row r="231" spans="1:10" x14ac:dyDescent="0.3">
      <c r="A231" s="8" t="s">
        <v>857</v>
      </c>
      <c r="B231" s="8" t="s">
        <v>858</v>
      </c>
      <c r="C231" s="8">
        <v>7</v>
      </c>
      <c r="D231" s="8" t="s">
        <v>859</v>
      </c>
      <c r="E231" s="9">
        <v>500</v>
      </c>
      <c r="F231" t="b">
        <f>COUNTIF(표5[상품번호],상품!A231) &gt;0</f>
        <v>0</v>
      </c>
      <c r="G231">
        <f>COUNTIF(표4[상품번호],상품!A231)</f>
        <v>0</v>
      </c>
      <c r="H231">
        <f>INDEX(표2[번호],MATCH(LEFT(A231,1),표2[코드],0))</f>
        <v>12</v>
      </c>
      <c r="I231" t="str">
        <f>VLOOKUP(C231,표1[],6,FALSE)</f>
        <v>진해구</v>
      </c>
      <c r="J231" t="str">
        <f>VLOOKUP(C231,표1[],7,FALSE)</f>
        <v>경화동</v>
      </c>
    </row>
    <row r="232" spans="1:10" x14ac:dyDescent="0.3">
      <c r="A232" s="8" t="s">
        <v>860</v>
      </c>
      <c r="B232" s="8" t="s">
        <v>861</v>
      </c>
      <c r="C232" s="8">
        <v>20</v>
      </c>
      <c r="D232" s="8" t="s">
        <v>862</v>
      </c>
      <c r="E232" s="9">
        <v>8000</v>
      </c>
      <c r="F232" t="b">
        <f>COUNTIF(표5[상품번호],상품!A232) &gt;0</f>
        <v>0</v>
      </c>
      <c r="G232">
        <f>COUNTIF(표4[상품번호],상품!A232)</f>
        <v>0</v>
      </c>
      <c r="H232">
        <f>INDEX(표2[번호],MATCH(LEFT(A232,1),표2[코드],0))</f>
        <v>12</v>
      </c>
      <c r="I232" t="str">
        <f>VLOOKUP(C232,표1[],6,FALSE)</f>
        <v>마산합포구</v>
      </c>
      <c r="J232" t="str">
        <f>VLOOKUP(C232,표1[],7,FALSE)</f>
        <v>간호동</v>
      </c>
    </row>
    <row r="233" spans="1:10" x14ac:dyDescent="0.3">
      <c r="A233" s="8" t="s">
        <v>863</v>
      </c>
      <c r="B233" s="8" t="s">
        <v>864</v>
      </c>
      <c r="C233" s="8">
        <v>15</v>
      </c>
      <c r="D233" s="8" t="s">
        <v>865</v>
      </c>
      <c r="E233" s="9">
        <v>10000</v>
      </c>
      <c r="F233" t="b">
        <f>COUNTIF(표5[상품번호],상품!A233) &gt;0</f>
        <v>0</v>
      </c>
      <c r="G233">
        <f>COUNTIF(표4[상품번호],상품!A233)</f>
        <v>0</v>
      </c>
      <c r="H233">
        <f>INDEX(표2[번호],MATCH(LEFT(A233,1),표2[코드],0))</f>
        <v>12</v>
      </c>
      <c r="I233" t="str">
        <f>VLOOKUP(C233,표1[],6,FALSE)</f>
        <v>의창구</v>
      </c>
      <c r="J233" t="str">
        <f>VLOOKUP(C233,표1[],7,FALSE)</f>
        <v>명곡동</v>
      </c>
    </row>
    <row r="234" spans="1:10" x14ac:dyDescent="0.3">
      <c r="A234" s="8" t="s">
        <v>866</v>
      </c>
      <c r="B234" s="8" t="s">
        <v>867</v>
      </c>
      <c r="C234" s="8">
        <v>6</v>
      </c>
      <c r="D234" s="8" t="s">
        <v>868</v>
      </c>
      <c r="E234" s="9">
        <v>20000</v>
      </c>
      <c r="F234" t="b">
        <f>COUNTIF(표5[상품번호],상품!A234) &gt;0</f>
        <v>0</v>
      </c>
      <c r="G234">
        <f>COUNTIF(표4[상품번호],상품!A234)</f>
        <v>0</v>
      </c>
      <c r="H234">
        <f>INDEX(표2[번호],MATCH(LEFT(A234,1),표2[코드],0))</f>
        <v>12</v>
      </c>
      <c r="I234" t="str">
        <f>VLOOKUP(C234,표1[],6,FALSE)</f>
        <v>성산구</v>
      </c>
      <c r="J234" t="str">
        <f>VLOOKUP(C234,표1[],7,FALSE)</f>
        <v>중앙동</v>
      </c>
    </row>
    <row r="235" spans="1:10" x14ac:dyDescent="0.3">
      <c r="A235" s="8" t="s">
        <v>869</v>
      </c>
      <c r="B235" s="8" t="s">
        <v>870</v>
      </c>
      <c r="C235" s="8">
        <v>2</v>
      </c>
      <c r="D235" s="8" t="s">
        <v>582</v>
      </c>
      <c r="E235" s="9">
        <v>19000</v>
      </c>
      <c r="F235" t="b">
        <f>COUNTIF(표5[상품번호],상품!A235) &gt;0</f>
        <v>0</v>
      </c>
      <c r="G235">
        <f>COUNTIF(표4[상품번호],상품!A235)</f>
        <v>0</v>
      </c>
      <c r="H235">
        <f>INDEX(표2[번호],MATCH(LEFT(A235,1),표2[코드],0))</f>
        <v>12</v>
      </c>
      <c r="I235" t="str">
        <f>VLOOKUP(C235,표1[],6,FALSE)</f>
        <v>진해구</v>
      </c>
      <c r="J235" t="str">
        <f>VLOOKUP(C235,표1[],7,FALSE)</f>
        <v>충무동</v>
      </c>
    </row>
    <row r="236" spans="1:10" x14ac:dyDescent="0.3">
      <c r="A236" s="8" t="s">
        <v>871</v>
      </c>
      <c r="B236" s="8" t="s">
        <v>872</v>
      </c>
      <c r="C236" s="8">
        <v>22</v>
      </c>
      <c r="D236" s="8" t="s">
        <v>873</v>
      </c>
      <c r="E236" s="9">
        <v>85000</v>
      </c>
      <c r="F236" t="b">
        <f>COUNTIF(표5[상품번호],상품!A236) &gt;0</f>
        <v>0</v>
      </c>
      <c r="G236">
        <f>COUNTIF(표4[상품번호],상품!A236)</f>
        <v>0</v>
      </c>
      <c r="H236">
        <f>INDEX(표2[번호],MATCH(LEFT(A236,1),표2[코드],0))</f>
        <v>12</v>
      </c>
      <c r="I236" t="str">
        <f>VLOOKUP(C236,표1[],6,FALSE)</f>
        <v>의창구</v>
      </c>
      <c r="J236" t="str">
        <f>VLOOKUP(C236,표1[],7,FALSE)</f>
        <v>용지동</v>
      </c>
    </row>
    <row r="237" spans="1:10" x14ac:dyDescent="0.3">
      <c r="A237" s="8" t="s">
        <v>874</v>
      </c>
      <c r="B237" s="8" t="s">
        <v>875</v>
      </c>
      <c r="C237" s="8">
        <v>21</v>
      </c>
      <c r="D237" s="8" t="s">
        <v>876</v>
      </c>
      <c r="E237" s="9">
        <v>8000</v>
      </c>
      <c r="F237" t="b">
        <f>COUNTIF(표5[상품번호],상품!A237) &gt;0</f>
        <v>0</v>
      </c>
      <c r="G237">
        <f>COUNTIF(표4[상품번호],상품!A237)</f>
        <v>0</v>
      </c>
      <c r="H237">
        <f>INDEX(표2[번호],MATCH(LEFT(A237,1),표2[코드],0))</f>
        <v>12</v>
      </c>
      <c r="I237" t="str">
        <f>VLOOKUP(C237,표1[],6,FALSE)</f>
        <v>성산구</v>
      </c>
      <c r="J237" t="str">
        <f>VLOOKUP(C237,표1[],7,FALSE)</f>
        <v>웅남동</v>
      </c>
    </row>
    <row r="238" spans="1:10" x14ac:dyDescent="0.3">
      <c r="A238" s="8" t="s">
        <v>877</v>
      </c>
      <c r="B238" s="8" t="s">
        <v>878</v>
      </c>
      <c r="C238" s="8">
        <v>12</v>
      </c>
      <c r="D238" s="8" t="s">
        <v>879</v>
      </c>
      <c r="E238" s="9">
        <v>12000</v>
      </c>
      <c r="F238" t="b">
        <f>COUNTIF(표5[상품번호],상품!A238) &gt;0</f>
        <v>1</v>
      </c>
      <c r="G238">
        <f>COUNTIF(표4[상품번호],상품!A238)</f>
        <v>0</v>
      </c>
      <c r="H238">
        <f>INDEX(표2[번호],MATCH(LEFT(A238,1),표2[코드],0))</f>
        <v>12</v>
      </c>
      <c r="I238" t="str">
        <f>VLOOKUP(C238,표1[],6,FALSE)</f>
        <v>진해구</v>
      </c>
      <c r="J238" t="str">
        <f>VLOOKUP(C238,표1[],7,FALSE)</f>
        <v>자은동</v>
      </c>
    </row>
    <row r="239" spans="1:10" x14ac:dyDescent="0.3">
      <c r="A239" s="8" t="s">
        <v>880</v>
      </c>
      <c r="B239" s="8" t="s">
        <v>641</v>
      </c>
      <c r="C239" s="8">
        <v>14</v>
      </c>
      <c r="D239" s="8" t="s">
        <v>881</v>
      </c>
      <c r="E239" s="9">
        <v>10010</v>
      </c>
      <c r="F239" t="b">
        <f>COUNTIF(표5[상품번호],상품!A239) &gt;0</f>
        <v>0</v>
      </c>
      <c r="G239">
        <f>COUNTIF(표4[상품번호],상품!A239)</f>
        <v>0</v>
      </c>
      <c r="H239">
        <f>INDEX(표2[번호],MATCH(LEFT(A239,1),표2[코드],0))</f>
        <v>12</v>
      </c>
      <c r="I239" t="str">
        <f>VLOOKUP(C239,표1[],6,FALSE)</f>
        <v>성산구</v>
      </c>
      <c r="J239" t="str">
        <f>VLOOKUP(C239,표1[],7,FALSE)</f>
        <v>가음정동</v>
      </c>
    </row>
    <row r="240" spans="1:10" x14ac:dyDescent="0.3">
      <c r="A240" s="8" t="s">
        <v>882</v>
      </c>
      <c r="B240" s="8" t="s">
        <v>883</v>
      </c>
      <c r="C240" s="8">
        <v>18</v>
      </c>
      <c r="D240" s="8" t="s">
        <v>884</v>
      </c>
      <c r="E240" s="9">
        <v>7000</v>
      </c>
      <c r="F240" t="b">
        <f>COUNTIF(표5[상품번호],상품!A240) &gt;0</f>
        <v>0</v>
      </c>
      <c r="G240">
        <f>COUNTIF(표4[상품번호],상품!A240)</f>
        <v>0</v>
      </c>
      <c r="H240">
        <f>INDEX(표2[번호],MATCH(LEFT(A240,1),표2[코드],0))</f>
        <v>12</v>
      </c>
      <c r="I240" t="str">
        <f>VLOOKUP(C240,표1[],6,FALSE)</f>
        <v>의창구</v>
      </c>
      <c r="J240" t="str">
        <f>VLOOKUP(C240,표1[],7,FALSE)</f>
        <v>봉림동</v>
      </c>
    </row>
    <row r="241" spans="1:10" x14ac:dyDescent="0.3">
      <c r="A241" s="10" t="s">
        <v>885</v>
      </c>
      <c r="B241" s="10" t="s">
        <v>886</v>
      </c>
      <c r="C241" s="10">
        <v>3</v>
      </c>
      <c r="D241" s="10" t="s">
        <v>887</v>
      </c>
      <c r="E241" s="4">
        <v>6000</v>
      </c>
      <c r="F241" t="b">
        <f>COUNTIF(표5[상품번호],상품!A241) &gt;0</f>
        <v>0</v>
      </c>
      <c r="G241">
        <f>COUNTIF(표4[상품번호],상품!A241)</f>
        <v>0</v>
      </c>
      <c r="H241">
        <f>INDEX(표2[번호],MATCH(LEFT(A241,1),표2[코드],0))</f>
        <v>12</v>
      </c>
      <c r="I241" t="str">
        <f>VLOOKUP(C241,표1[],6,FALSE)</f>
        <v>마산회원구</v>
      </c>
      <c r="J241" t="str">
        <f>VLOOKUP(C241,표1[],7,FALSE)</f>
        <v>석전동</v>
      </c>
    </row>
  </sheetData>
  <phoneticPr fontId="1" type="noConversion"/>
  <conditionalFormatting sqref="A2:E1048576">
    <cfRule type="expression" dxfId="43" priority="2">
      <formula>$A2 &lt;&gt; ""</formula>
    </cfRule>
  </conditionalFormatting>
  <conditionalFormatting sqref="A2:F1048576">
    <cfRule type="expression" dxfId="42" priority="1">
      <formula>$F2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CommandButton1">
          <controlPr defaultSize="0" autoLine="0" r:id="rId4">
            <anchor moveWithCells="1">
              <from>
                <xdr:col>6</xdr:col>
                <xdr:colOff>438150</xdr:colOff>
                <xdr:row>0</xdr:row>
                <xdr:rowOff>85725</xdr:rowOff>
              </from>
              <to>
                <xdr:col>8</xdr:col>
                <xdr:colOff>390525</xdr:colOff>
                <xdr:row>2</xdr:row>
                <xdr:rowOff>66675</xdr:rowOff>
              </to>
            </anchor>
          </controlPr>
        </control>
      </mc:Choice>
      <mc:Fallback>
        <control shapeId="4098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C61"/>
  <sheetViews>
    <sheetView workbookViewId="0">
      <selection activeCell="N16" sqref="N16"/>
    </sheetView>
  </sheetViews>
  <sheetFormatPr defaultRowHeight="16.5" x14ac:dyDescent="0.3"/>
  <cols>
    <col min="1" max="1" width="5.25" bestFit="1" customWidth="1"/>
    <col min="2" max="3" width="9" bestFit="1" customWidth="1"/>
  </cols>
  <sheetData>
    <row r="1" spans="1:3" x14ac:dyDescent="0.3">
      <c r="A1" s="2" t="s">
        <v>0</v>
      </c>
      <c r="B1" s="2" t="s">
        <v>184</v>
      </c>
      <c r="C1" s="2" t="s">
        <v>185</v>
      </c>
    </row>
    <row r="2" spans="1:3" x14ac:dyDescent="0.3">
      <c r="A2" s="2">
        <v>1</v>
      </c>
      <c r="B2" s="2">
        <v>6</v>
      </c>
      <c r="C2" s="2" t="s">
        <v>186</v>
      </c>
    </row>
    <row r="3" spans="1:3" x14ac:dyDescent="0.3">
      <c r="A3" s="2">
        <v>2</v>
      </c>
      <c r="B3" s="2">
        <v>7</v>
      </c>
      <c r="C3" s="2" t="s">
        <v>187</v>
      </c>
    </row>
    <row r="4" spans="1:3" x14ac:dyDescent="0.3">
      <c r="A4" s="2">
        <v>3</v>
      </c>
      <c r="B4" s="2">
        <v>8</v>
      </c>
      <c r="C4" s="2" t="s">
        <v>188</v>
      </c>
    </row>
    <row r="5" spans="1:3" x14ac:dyDescent="0.3">
      <c r="A5" s="2">
        <v>4</v>
      </c>
      <c r="B5" s="2">
        <v>9</v>
      </c>
      <c r="C5" s="2" t="s">
        <v>189</v>
      </c>
    </row>
    <row r="6" spans="1:3" x14ac:dyDescent="0.3">
      <c r="A6" s="2">
        <v>5</v>
      </c>
      <c r="B6" s="2">
        <v>10</v>
      </c>
      <c r="C6" s="2" t="s">
        <v>190</v>
      </c>
    </row>
    <row r="7" spans="1:3" x14ac:dyDescent="0.3">
      <c r="A7" s="2">
        <v>6</v>
      </c>
      <c r="B7" s="2">
        <v>11</v>
      </c>
      <c r="C7" s="2" t="s">
        <v>191</v>
      </c>
    </row>
    <row r="8" spans="1:3" x14ac:dyDescent="0.3">
      <c r="A8" s="2">
        <v>7</v>
      </c>
      <c r="B8" s="2">
        <v>12</v>
      </c>
      <c r="C8" s="2" t="s">
        <v>192</v>
      </c>
    </row>
    <row r="9" spans="1:3" x14ac:dyDescent="0.3">
      <c r="A9" s="2">
        <v>8</v>
      </c>
      <c r="B9" s="2">
        <v>1</v>
      </c>
      <c r="C9" s="2" t="s">
        <v>193</v>
      </c>
    </row>
    <row r="10" spans="1:3" x14ac:dyDescent="0.3">
      <c r="A10" s="2">
        <v>9</v>
      </c>
      <c r="B10" s="2">
        <v>2</v>
      </c>
      <c r="C10" s="2" t="s">
        <v>194</v>
      </c>
    </row>
    <row r="11" spans="1:3" x14ac:dyDescent="0.3">
      <c r="A11" s="2">
        <v>10</v>
      </c>
      <c r="B11" s="2">
        <v>3</v>
      </c>
      <c r="C11" s="2" t="s">
        <v>195</v>
      </c>
    </row>
    <row r="12" spans="1:3" x14ac:dyDescent="0.3">
      <c r="A12" s="2">
        <v>11</v>
      </c>
      <c r="B12" s="2">
        <v>4</v>
      </c>
      <c r="C12" s="2" t="s">
        <v>196</v>
      </c>
    </row>
    <row r="13" spans="1:3" x14ac:dyDescent="0.3">
      <c r="A13" s="2">
        <v>12</v>
      </c>
      <c r="B13" s="2">
        <v>5</v>
      </c>
      <c r="C13" s="2" t="s">
        <v>197</v>
      </c>
    </row>
    <row r="14" spans="1:3" x14ac:dyDescent="0.3">
      <c r="A14" s="2">
        <v>13</v>
      </c>
      <c r="B14" s="2">
        <v>10</v>
      </c>
      <c r="C14" s="2" t="s">
        <v>198</v>
      </c>
    </row>
    <row r="15" spans="1:3" x14ac:dyDescent="0.3">
      <c r="A15" s="2">
        <v>14</v>
      </c>
      <c r="B15" s="2">
        <v>11</v>
      </c>
      <c r="C15" s="2" t="s">
        <v>199</v>
      </c>
    </row>
    <row r="16" spans="1:3" x14ac:dyDescent="0.3">
      <c r="A16" s="2">
        <v>15</v>
      </c>
      <c r="B16" s="2">
        <v>12</v>
      </c>
      <c r="C16" s="2" t="s">
        <v>200</v>
      </c>
    </row>
    <row r="17" spans="1:3" x14ac:dyDescent="0.3">
      <c r="A17" s="2">
        <v>16</v>
      </c>
      <c r="B17" s="2">
        <v>13</v>
      </c>
      <c r="C17" s="2" t="s">
        <v>201</v>
      </c>
    </row>
    <row r="18" spans="1:3" x14ac:dyDescent="0.3">
      <c r="A18" s="2">
        <v>17</v>
      </c>
      <c r="B18" s="2">
        <v>14</v>
      </c>
      <c r="C18" s="2" t="s">
        <v>202</v>
      </c>
    </row>
    <row r="19" spans="1:3" x14ac:dyDescent="0.3">
      <c r="A19" s="2">
        <v>18</v>
      </c>
      <c r="B19" s="2">
        <v>23</v>
      </c>
      <c r="C19" s="2" t="s">
        <v>203</v>
      </c>
    </row>
    <row r="20" spans="1:3" x14ac:dyDescent="0.3">
      <c r="A20" s="2">
        <v>19</v>
      </c>
      <c r="B20" s="2">
        <v>24</v>
      </c>
      <c r="C20" s="2" t="s">
        <v>204</v>
      </c>
    </row>
    <row r="21" spans="1:3" x14ac:dyDescent="0.3">
      <c r="A21" s="2">
        <v>20</v>
      </c>
      <c r="B21" s="2">
        <v>1</v>
      </c>
      <c r="C21" s="2" t="s">
        <v>205</v>
      </c>
    </row>
    <row r="22" spans="1:3" x14ac:dyDescent="0.3">
      <c r="A22" s="2">
        <v>21</v>
      </c>
      <c r="B22" s="2">
        <v>2</v>
      </c>
      <c r="C22" s="2" t="s">
        <v>206</v>
      </c>
    </row>
    <row r="23" spans="1:3" x14ac:dyDescent="0.3">
      <c r="A23" s="2">
        <v>22</v>
      </c>
      <c r="B23" s="2">
        <v>13</v>
      </c>
      <c r="C23" s="2" t="s">
        <v>207</v>
      </c>
    </row>
    <row r="24" spans="1:3" x14ac:dyDescent="0.3">
      <c r="A24" s="2">
        <v>23</v>
      </c>
      <c r="B24" s="2">
        <v>14</v>
      </c>
      <c r="C24" s="2" t="s">
        <v>208</v>
      </c>
    </row>
    <row r="25" spans="1:3" x14ac:dyDescent="0.3">
      <c r="A25" s="2">
        <v>24</v>
      </c>
      <c r="B25" s="2">
        <v>18</v>
      </c>
      <c r="C25" s="2" t="s">
        <v>209</v>
      </c>
    </row>
    <row r="26" spans="1:3" x14ac:dyDescent="0.3">
      <c r="A26" s="2">
        <v>25</v>
      </c>
      <c r="B26" s="2">
        <v>16</v>
      </c>
      <c r="C26" s="2" t="s">
        <v>197</v>
      </c>
    </row>
    <row r="27" spans="1:3" x14ac:dyDescent="0.3">
      <c r="A27" s="2">
        <v>26</v>
      </c>
      <c r="B27" s="2">
        <v>17</v>
      </c>
      <c r="C27" s="2" t="s">
        <v>210</v>
      </c>
    </row>
    <row r="28" spans="1:3" x14ac:dyDescent="0.3">
      <c r="A28" s="2">
        <v>27</v>
      </c>
      <c r="B28" s="2">
        <v>18</v>
      </c>
      <c r="C28" s="2" t="s">
        <v>192</v>
      </c>
    </row>
    <row r="29" spans="1:3" x14ac:dyDescent="0.3">
      <c r="A29" s="2">
        <v>28</v>
      </c>
      <c r="B29" s="2">
        <v>19</v>
      </c>
      <c r="C29" s="2" t="s">
        <v>211</v>
      </c>
    </row>
    <row r="30" spans="1:3" x14ac:dyDescent="0.3">
      <c r="A30" s="2">
        <v>29</v>
      </c>
      <c r="B30" s="2">
        <v>10</v>
      </c>
      <c r="C30" s="2" t="s">
        <v>212</v>
      </c>
    </row>
    <row r="31" spans="1:3" x14ac:dyDescent="0.3">
      <c r="A31" s="2">
        <v>30</v>
      </c>
      <c r="B31" s="2">
        <v>11</v>
      </c>
      <c r="C31" s="2" t="s">
        <v>213</v>
      </c>
    </row>
    <row r="32" spans="1:3" x14ac:dyDescent="0.3">
      <c r="A32" s="2">
        <v>31</v>
      </c>
      <c r="B32" s="2">
        <v>12</v>
      </c>
      <c r="C32" s="2" t="s">
        <v>214</v>
      </c>
    </row>
    <row r="33" spans="1:3" x14ac:dyDescent="0.3">
      <c r="A33" s="2">
        <v>32</v>
      </c>
      <c r="B33" s="2">
        <v>13</v>
      </c>
      <c r="C33" s="2" t="s">
        <v>215</v>
      </c>
    </row>
    <row r="34" spans="1:3" x14ac:dyDescent="0.3">
      <c r="A34" s="2">
        <v>33</v>
      </c>
      <c r="B34" s="2">
        <v>14</v>
      </c>
      <c r="C34" s="2" t="s">
        <v>216</v>
      </c>
    </row>
    <row r="35" spans="1:3" x14ac:dyDescent="0.3">
      <c r="A35" s="2">
        <v>34</v>
      </c>
      <c r="B35" s="2">
        <v>19</v>
      </c>
      <c r="C35" s="2" t="s">
        <v>217</v>
      </c>
    </row>
    <row r="36" spans="1:3" x14ac:dyDescent="0.3">
      <c r="A36" s="2">
        <v>35</v>
      </c>
      <c r="B36" s="2">
        <v>1</v>
      </c>
      <c r="C36" s="2" t="s">
        <v>218</v>
      </c>
    </row>
    <row r="37" spans="1:3" x14ac:dyDescent="0.3">
      <c r="A37" s="2">
        <v>36</v>
      </c>
      <c r="B37" s="2">
        <v>17</v>
      </c>
      <c r="C37" s="2" t="s">
        <v>206</v>
      </c>
    </row>
    <row r="38" spans="1:3" x14ac:dyDescent="0.3">
      <c r="A38" s="2">
        <v>37</v>
      </c>
      <c r="B38" s="2">
        <v>18</v>
      </c>
      <c r="C38" s="2" t="s">
        <v>219</v>
      </c>
    </row>
    <row r="39" spans="1:3" x14ac:dyDescent="0.3">
      <c r="A39" s="2">
        <v>38</v>
      </c>
      <c r="B39" s="2">
        <v>11</v>
      </c>
      <c r="C39" s="2" t="s">
        <v>220</v>
      </c>
    </row>
    <row r="40" spans="1:3" x14ac:dyDescent="0.3">
      <c r="A40" s="2">
        <v>39</v>
      </c>
      <c r="B40" s="2">
        <v>20</v>
      </c>
      <c r="C40" s="2" t="s">
        <v>221</v>
      </c>
    </row>
    <row r="41" spans="1:3" x14ac:dyDescent="0.3">
      <c r="A41" s="2">
        <v>40</v>
      </c>
      <c r="B41" s="2">
        <v>21</v>
      </c>
      <c r="C41" s="2" t="s">
        <v>222</v>
      </c>
    </row>
    <row r="42" spans="1:3" x14ac:dyDescent="0.3">
      <c r="A42" s="2">
        <v>41</v>
      </c>
      <c r="B42" s="2">
        <v>22</v>
      </c>
      <c r="C42" s="2" t="s">
        <v>210</v>
      </c>
    </row>
    <row r="43" spans="1:3" x14ac:dyDescent="0.3">
      <c r="A43" s="2">
        <v>42</v>
      </c>
      <c r="B43" s="2">
        <v>1</v>
      </c>
      <c r="C43" s="2" t="s">
        <v>223</v>
      </c>
    </row>
    <row r="44" spans="1:3" x14ac:dyDescent="0.3">
      <c r="A44" s="2">
        <v>43</v>
      </c>
      <c r="B44" s="2">
        <v>18</v>
      </c>
      <c r="C44" s="2" t="s">
        <v>205</v>
      </c>
    </row>
    <row r="45" spans="1:3" x14ac:dyDescent="0.3">
      <c r="A45" s="2">
        <v>44</v>
      </c>
      <c r="B45" s="2">
        <v>19</v>
      </c>
      <c r="C45" s="2" t="s">
        <v>206</v>
      </c>
    </row>
    <row r="46" spans="1:3" x14ac:dyDescent="0.3">
      <c r="A46" s="2">
        <v>45</v>
      </c>
      <c r="B46" s="2">
        <v>10</v>
      </c>
      <c r="C46" s="2" t="s">
        <v>219</v>
      </c>
    </row>
    <row r="47" spans="1:3" x14ac:dyDescent="0.3">
      <c r="A47" s="2">
        <v>46</v>
      </c>
      <c r="B47" s="2">
        <v>11</v>
      </c>
      <c r="C47" s="2" t="s">
        <v>224</v>
      </c>
    </row>
    <row r="48" spans="1:3" x14ac:dyDescent="0.3">
      <c r="A48" s="2">
        <v>47</v>
      </c>
      <c r="B48" s="2">
        <v>22</v>
      </c>
      <c r="C48" s="2" t="s">
        <v>221</v>
      </c>
    </row>
    <row r="49" spans="1:3" x14ac:dyDescent="0.3">
      <c r="A49" s="2">
        <v>48</v>
      </c>
      <c r="B49" s="2">
        <v>1</v>
      </c>
      <c r="C49" s="2" t="s">
        <v>222</v>
      </c>
    </row>
    <row r="50" spans="1:3" x14ac:dyDescent="0.3">
      <c r="A50" s="2">
        <v>49</v>
      </c>
      <c r="B50" s="2">
        <v>17</v>
      </c>
      <c r="C50" s="2" t="s">
        <v>222</v>
      </c>
    </row>
    <row r="51" spans="1:3" x14ac:dyDescent="0.3">
      <c r="A51" s="2">
        <v>50</v>
      </c>
      <c r="B51" s="2">
        <v>18</v>
      </c>
      <c r="C51" s="2" t="s">
        <v>223</v>
      </c>
    </row>
    <row r="52" spans="1:3" x14ac:dyDescent="0.3">
      <c r="A52" s="2">
        <v>51</v>
      </c>
      <c r="B52" s="2">
        <v>19</v>
      </c>
      <c r="C52" s="2" t="s">
        <v>225</v>
      </c>
    </row>
    <row r="53" spans="1:3" x14ac:dyDescent="0.3">
      <c r="A53" s="2">
        <v>52</v>
      </c>
      <c r="B53" s="2">
        <v>10</v>
      </c>
      <c r="C53" s="2" t="s">
        <v>220</v>
      </c>
    </row>
    <row r="54" spans="1:3" x14ac:dyDescent="0.3">
      <c r="A54" s="2">
        <v>53</v>
      </c>
      <c r="B54" s="2">
        <v>11</v>
      </c>
      <c r="C54" s="2" t="s">
        <v>226</v>
      </c>
    </row>
    <row r="55" spans="1:3" x14ac:dyDescent="0.3">
      <c r="A55" s="2">
        <v>54</v>
      </c>
      <c r="B55" s="2">
        <v>22</v>
      </c>
      <c r="C55" s="2" t="s">
        <v>193</v>
      </c>
    </row>
    <row r="56" spans="1:3" x14ac:dyDescent="0.3">
      <c r="A56" s="2">
        <v>55</v>
      </c>
      <c r="B56" s="2">
        <v>2</v>
      </c>
      <c r="C56" s="2" t="s">
        <v>193</v>
      </c>
    </row>
    <row r="57" spans="1:3" x14ac:dyDescent="0.3">
      <c r="A57" s="2">
        <v>56</v>
      </c>
      <c r="B57" s="2">
        <v>3</v>
      </c>
      <c r="C57" s="2" t="s">
        <v>227</v>
      </c>
    </row>
    <row r="58" spans="1:3" x14ac:dyDescent="0.3">
      <c r="A58" s="2">
        <v>57</v>
      </c>
      <c r="B58" s="2">
        <v>4</v>
      </c>
      <c r="C58" s="2" t="s">
        <v>214</v>
      </c>
    </row>
    <row r="59" spans="1:3" x14ac:dyDescent="0.3">
      <c r="A59" s="2">
        <v>58</v>
      </c>
      <c r="B59" s="2">
        <v>5</v>
      </c>
      <c r="C59" s="2" t="s">
        <v>215</v>
      </c>
    </row>
    <row r="60" spans="1:3" x14ac:dyDescent="0.3">
      <c r="A60" s="2">
        <v>59</v>
      </c>
      <c r="B60" s="2">
        <v>10</v>
      </c>
      <c r="C60" s="2" t="s">
        <v>193</v>
      </c>
    </row>
    <row r="61" spans="1:3" x14ac:dyDescent="0.3">
      <c r="A61" s="2">
        <v>60</v>
      </c>
      <c r="B61" s="2">
        <v>1</v>
      </c>
      <c r="C61" s="2" t="s">
        <v>191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3</xdr:col>
                <xdr:colOff>133350</xdr:colOff>
                <xdr:row>0</xdr:row>
                <xdr:rowOff>85725</xdr:rowOff>
              </from>
              <to>
                <xdr:col>5</xdr:col>
                <xdr:colOff>85725</xdr:colOff>
                <xdr:row>2</xdr:row>
                <xdr:rowOff>66675</xdr:rowOff>
              </to>
            </anchor>
          </controlPr>
        </control>
      </mc:Choice>
      <mc:Fallback>
        <control shapeId="5121" r:id="rId3" name="CommandButton1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M47"/>
  <sheetViews>
    <sheetView workbookViewId="0">
      <selection activeCell="E34" sqref="E34"/>
    </sheetView>
  </sheetViews>
  <sheetFormatPr defaultRowHeight="16.5" x14ac:dyDescent="0.3"/>
  <cols>
    <col min="1" max="1" width="5.25" style="2" bestFit="1" customWidth="1"/>
    <col min="2" max="3" width="9" style="2" bestFit="1" customWidth="1"/>
    <col min="4" max="4" width="11.125" style="11" bestFit="1" customWidth="1"/>
    <col min="13" max="13" width="16.625" bestFit="1" customWidth="1"/>
  </cols>
  <sheetData>
    <row r="1" spans="1:13" x14ac:dyDescent="0.3">
      <c r="A1" s="2" t="s">
        <v>0</v>
      </c>
      <c r="B1" s="2" t="s">
        <v>185</v>
      </c>
      <c r="C1" s="2" t="s">
        <v>184</v>
      </c>
      <c r="D1" s="11" t="s">
        <v>888</v>
      </c>
      <c r="E1" s="2" t="s">
        <v>918</v>
      </c>
      <c r="F1" s="2" t="s">
        <v>959</v>
      </c>
    </row>
    <row r="2" spans="1:13" x14ac:dyDescent="0.3">
      <c r="A2" s="2">
        <v>1</v>
      </c>
      <c r="B2" s="2" t="s">
        <v>191</v>
      </c>
      <c r="C2" s="2">
        <v>8</v>
      </c>
      <c r="D2" s="11">
        <v>44788</v>
      </c>
      <c r="E2" s="2" t="str">
        <f>WEEKNUM(표5[[#This Row],[구매날짜]]) &amp; "주"</f>
        <v>34주</v>
      </c>
      <c r="F2" s="2">
        <f>VLOOKUP(표5[[#This Row],[상품번호]],상품!$A$2:$J$1048576,3,FALSE)</f>
        <v>7</v>
      </c>
      <c r="M2" s="31"/>
    </row>
    <row r="3" spans="1:13" x14ac:dyDescent="0.3">
      <c r="A3" s="2">
        <v>2</v>
      </c>
      <c r="B3" s="2" t="s">
        <v>851</v>
      </c>
      <c r="C3" s="2">
        <v>1</v>
      </c>
      <c r="D3" s="11">
        <v>44788</v>
      </c>
      <c r="E3" s="2" t="str">
        <f>WEEKNUM(표5[[#This Row],[구매날짜]]) &amp; "주"</f>
        <v>34주</v>
      </c>
      <c r="F3" s="2">
        <f>VLOOKUP(표5[[#This Row],[상품번호]],상품!$A$2:$J$1048576,3,FALSE)</f>
        <v>11</v>
      </c>
    </row>
    <row r="4" spans="1:13" x14ac:dyDescent="0.3">
      <c r="A4" s="2">
        <v>3</v>
      </c>
      <c r="B4" s="2" t="s">
        <v>189</v>
      </c>
      <c r="C4" s="2">
        <v>10</v>
      </c>
      <c r="D4" s="11">
        <v>44788</v>
      </c>
      <c r="E4" s="2" t="str">
        <f>WEEKNUM(표5[[#This Row],[구매날짜]]) &amp; "주"</f>
        <v>34주</v>
      </c>
      <c r="F4" s="2">
        <f>VLOOKUP(표5[[#This Row],[상품번호]],상품!$A$2:$J$1048576,3,FALSE)</f>
        <v>23</v>
      </c>
    </row>
    <row r="5" spans="1:13" x14ac:dyDescent="0.3">
      <c r="A5" s="2">
        <v>4</v>
      </c>
      <c r="B5" s="2" t="s">
        <v>829</v>
      </c>
      <c r="C5" s="2">
        <v>4</v>
      </c>
      <c r="D5" s="11">
        <v>44788</v>
      </c>
      <c r="E5" s="2" t="str">
        <f>WEEKNUM(표5[[#This Row],[구매날짜]]) &amp; "주"</f>
        <v>34주</v>
      </c>
      <c r="F5" s="2">
        <f>VLOOKUP(표5[[#This Row],[상품번호]],상품!$A$2:$J$1048576,3,FALSE)</f>
        <v>2</v>
      </c>
    </row>
    <row r="6" spans="1:13" x14ac:dyDescent="0.3">
      <c r="A6" s="2">
        <v>5</v>
      </c>
      <c r="B6" s="2" t="s">
        <v>206</v>
      </c>
      <c r="C6" s="2">
        <v>17</v>
      </c>
      <c r="D6" s="11">
        <v>44788</v>
      </c>
      <c r="E6" s="2" t="str">
        <f>WEEKNUM(표5[[#This Row],[구매날짜]]) &amp; "주"</f>
        <v>34주</v>
      </c>
      <c r="F6" s="2">
        <f>VLOOKUP(표5[[#This Row],[상품번호]],상품!$A$2:$J$1048576,3,FALSE)</f>
        <v>14</v>
      </c>
    </row>
    <row r="7" spans="1:13" x14ac:dyDescent="0.3">
      <c r="A7" s="2">
        <v>6</v>
      </c>
      <c r="B7" s="2" t="s">
        <v>682</v>
      </c>
      <c r="C7" s="2">
        <v>4</v>
      </c>
      <c r="D7" s="11">
        <v>44789</v>
      </c>
      <c r="E7" s="2" t="str">
        <f>WEEKNUM(표5[[#This Row],[구매날짜]]) &amp; "주"</f>
        <v>34주</v>
      </c>
      <c r="F7" s="2">
        <f>VLOOKUP(표5[[#This Row],[상품번호]],상품!$A$2:$J$1048576,3,FALSE)</f>
        <v>2</v>
      </c>
    </row>
    <row r="8" spans="1:13" x14ac:dyDescent="0.3">
      <c r="A8" s="2">
        <v>7</v>
      </c>
      <c r="B8" s="2" t="s">
        <v>741</v>
      </c>
      <c r="C8" s="2">
        <v>11</v>
      </c>
      <c r="D8" s="11">
        <v>44789</v>
      </c>
      <c r="E8" s="2" t="str">
        <f>WEEKNUM(표5[[#This Row],[구매날짜]]) &amp; "주"</f>
        <v>34주</v>
      </c>
      <c r="F8" s="2">
        <f>VLOOKUP(표5[[#This Row],[상품번호]],상품!$A$2:$J$1048576,3,FALSE)</f>
        <v>7</v>
      </c>
    </row>
    <row r="9" spans="1:13" x14ac:dyDescent="0.3">
      <c r="A9" s="2">
        <v>8</v>
      </c>
      <c r="B9" s="2" t="s">
        <v>359</v>
      </c>
      <c r="C9" s="2">
        <v>2</v>
      </c>
      <c r="D9" s="11">
        <v>44789</v>
      </c>
      <c r="E9" s="2" t="str">
        <f>WEEKNUM(표5[[#This Row],[구매날짜]]) &amp; "주"</f>
        <v>34주</v>
      </c>
      <c r="F9" s="2">
        <f>VLOOKUP(표5[[#This Row],[상품번호]],상품!$A$2:$J$1048576,3,FALSE)</f>
        <v>11</v>
      </c>
    </row>
    <row r="10" spans="1:13" x14ac:dyDescent="0.3">
      <c r="A10" s="2">
        <v>9</v>
      </c>
      <c r="B10" s="2" t="s">
        <v>211</v>
      </c>
      <c r="C10" s="2">
        <v>3</v>
      </c>
      <c r="D10" s="11">
        <v>44789</v>
      </c>
      <c r="E10" s="2" t="str">
        <f>WEEKNUM(표5[[#This Row],[구매날짜]]) &amp; "주"</f>
        <v>34주</v>
      </c>
      <c r="F10" s="2">
        <f>VLOOKUP(표5[[#This Row],[상품번호]],상품!$A$2:$J$1048576,3,FALSE)</f>
        <v>17</v>
      </c>
    </row>
    <row r="11" spans="1:13" x14ac:dyDescent="0.3">
      <c r="A11" s="2">
        <v>10</v>
      </c>
      <c r="B11" s="2" t="s">
        <v>580</v>
      </c>
      <c r="C11" s="2">
        <v>4</v>
      </c>
      <c r="D11" s="11">
        <v>44789</v>
      </c>
      <c r="E11" s="2" t="str">
        <f>WEEKNUM(표5[[#This Row],[구매날짜]]) &amp; "주"</f>
        <v>34주</v>
      </c>
      <c r="F11" s="2">
        <f>VLOOKUP(표5[[#This Row],[상품번호]],상품!$A$2:$J$1048576,3,FALSE)</f>
        <v>8</v>
      </c>
    </row>
    <row r="12" spans="1:13" x14ac:dyDescent="0.3">
      <c r="A12" s="2">
        <v>11</v>
      </c>
      <c r="B12" s="2" t="s">
        <v>216</v>
      </c>
      <c r="C12" s="2">
        <v>15</v>
      </c>
      <c r="D12" s="11">
        <v>44790</v>
      </c>
      <c r="E12" s="2" t="str">
        <f>WEEKNUM(표5[[#This Row],[구매날짜]]) &amp; "주"</f>
        <v>34주</v>
      </c>
      <c r="F12" s="2">
        <f>VLOOKUP(표5[[#This Row],[상품번호]],상품!$A$2:$J$1048576,3,FALSE)</f>
        <v>13</v>
      </c>
    </row>
    <row r="13" spans="1:13" x14ac:dyDescent="0.3">
      <c r="A13" s="2">
        <v>12</v>
      </c>
      <c r="B13" s="2" t="s">
        <v>428</v>
      </c>
      <c r="C13" s="2">
        <v>10</v>
      </c>
      <c r="D13" s="11">
        <v>44790</v>
      </c>
      <c r="E13" s="2" t="str">
        <f>WEEKNUM(표5[[#This Row],[구매날짜]]) &amp; "주"</f>
        <v>34주</v>
      </c>
      <c r="F13" s="2">
        <f>VLOOKUP(표5[[#This Row],[상품번호]],상품!$A$2:$J$1048576,3,FALSE)</f>
        <v>14</v>
      </c>
    </row>
    <row r="14" spans="1:13" x14ac:dyDescent="0.3">
      <c r="A14" s="2">
        <v>13</v>
      </c>
      <c r="B14" s="2" t="s">
        <v>652</v>
      </c>
      <c r="C14" s="2">
        <v>20</v>
      </c>
      <c r="D14" s="11">
        <v>44790</v>
      </c>
      <c r="E14" s="2" t="str">
        <f>WEEKNUM(표5[[#This Row],[구매날짜]]) &amp; "주"</f>
        <v>34주</v>
      </c>
      <c r="F14" s="2">
        <f>VLOOKUP(표5[[#This Row],[상품번호]],상품!$A$2:$J$1048576,3,FALSE)</f>
        <v>15</v>
      </c>
    </row>
    <row r="15" spans="1:13" x14ac:dyDescent="0.3">
      <c r="A15" s="2">
        <v>14</v>
      </c>
      <c r="B15" s="2" t="s">
        <v>310</v>
      </c>
      <c r="C15" s="2">
        <v>1</v>
      </c>
      <c r="D15" s="11">
        <v>44790</v>
      </c>
      <c r="E15" s="2" t="str">
        <f>WEEKNUM(표5[[#This Row],[구매날짜]]) &amp; "주"</f>
        <v>34주</v>
      </c>
      <c r="F15" s="2">
        <f>VLOOKUP(표5[[#This Row],[상품번호]],상품!$A$2:$J$1048576,3,FALSE)</f>
        <v>21</v>
      </c>
    </row>
    <row r="16" spans="1:13" x14ac:dyDescent="0.3">
      <c r="A16" s="2">
        <v>15</v>
      </c>
      <c r="B16" s="2" t="s">
        <v>799</v>
      </c>
      <c r="C16" s="2">
        <v>23</v>
      </c>
      <c r="D16" s="11">
        <v>44790</v>
      </c>
      <c r="E16" s="2" t="str">
        <f>WEEKNUM(표5[[#This Row],[구매날짜]]) &amp; "주"</f>
        <v>34주</v>
      </c>
      <c r="F16" s="2">
        <f>VLOOKUP(표5[[#This Row],[상품번호]],상품!$A$2:$J$1048576,3,FALSE)</f>
        <v>13</v>
      </c>
    </row>
    <row r="17" spans="1:6" x14ac:dyDescent="0.3">
      <c r="A17" s="2">
        <v>16</v>
      </c>
      <c r="B17" s="2" t="s">
        <v>877</v>
      </c>
      <c r="C17" s="2">
        <v>24</v>
      </c>
      <c r="D17" s="11">
        <v>44790</v>
      </c>
      <c r="E17" s="2" t="str">
        <f>WEEKNUM(표5[[#This Row],[구매날짜]]) &amp; "주"</f>
        <v>34주</v>
      </c>
      <c r="F17" s="2">
        <f>VLOOKUP(표5[[#This Row],[상품번호]],상품!$A$2:$J$1048576,3,FALSE)</f>
        <v>12</v>
      </c>
    </row>
    <row r="18" spans="1:6" x14ac:dyDescent="0.3">
      <c r="A18" s="2">
        <v>17</v>
      </c>
      <c r="B18" s="2" t="s">
        <v>204</v>
      </c>
      <c r="C18" s="2">
        <v>12</v>
      </c>
      <c r="D18" s="11">
        <v>44791</v>
      </c>
      <c r="E18" s="2" t="str">
        <f>WEEKNUM(표5[[#This Row],[구매날짜]]) &amp; "주"</f>
        <v>34주</v>
      </c>
      <c r="F18" s="2">
        <f>VLOOKUP(표5[[#This Row],[상품번호]],상품!$A$2:$J$1048576,3,FALSE)</f>
        <v>10</v>
      </c>
    </row>
    <row r="19" spans="1:6" x14ac:dyDescent="0.3">
      <c r="A19" s="2">
        <v>18</v>
      </c>
      <c r="B19" s="2" t="s">
        <v>231</v>
      </c>
      <c r="C19" s="2">
        <v>13</v>
      </c>
      <c r="D19" s="11">
        <v>44791</v>
      </c>
      <c r="E19" s="2" t="str">
        <f>WEEKNUM(표5[[#This Row],[구매날짜]]) &amp; "주"</f>
        <v>34주</v>
      </c>
      <c r="F19" s="2">
        <f>VLOOKUP(표5[[#This Row],[상품번호]],상품!$A$2:$J$1048576,3,FALSE)</f>
        <v>21</v>
      </c>
    </row>
    <row r="20" spans="1:6" x14ac:dyDescent="0.3">
      <c r="A20" s="2">
        <v>19</v>
      </c>
      <c r="B20" s="2" t="s">
        <v>208</v>
      </c>
      <c r="C20" s="2">
        <v>9</v>
      </c>
      <c r="D20" s="11">
        <v>44791</v>
      </c>
      <c r="E20" s="2" t="str">
        <f>WEEKNUM(표5[[#This Row],[구매날짜]]) &amp; "주"</f>
        <v>34주</v>
      </c>
      <c r="F20" s="2">
        <f>VLOOKUP(표5[[#This Row],[상품번호]],상품!$A$2:$J$1048576,3,FALSE)</f>
        <v>18</v>
      </c>
    </row>
    <row r="21" spans="1:6" x14ac:dyDescent="0.3">
      <c r="A21" s="2">
        <v>20</v>
      </c>
      <c r="B21" s="2" t="s">
        <v>210</v>
      </c>
      <c r="C21" s="2">
        <v>1</v>
      </c>
      <c r="D21" s="11">
        <v>44791</v>
      </c>
      <c r="E21" s="2" t="str">
        <f>WEEKNUM(표5[[#This Row],[구매날짜]]) &amp; "주"</f>
        <v>34주</v>
      </c>
      <c r="F21" s="2">
        <f>VLOOKUP(표5[[#This Row],[상품번호]],상품!$A$2:$J$1048576,3,FALSE)</f>
        <v>6</v>
      </c>
    </row>
    <row r="22" spans="1:6" x14ac:dyDescent="0.3">
      <c r="A22" s="2">
        <v>21</v>
      </c>
      <c r="B22" s="2" t="s">
        <v>226</v>
      </c>
      <c r="C22" s="2">
        <v>15</v>
      </c>
      <c r="D22" s="11">
        <v>44791</v>
      </c>
      <c r="E22" s="2" t="str">
        <f>WEEKNUM(표5[[#This Row],[구매날짜]]) &amp; "주"</f>
        <v>34주</v>
      </c>
      <c r="F22" s="2">
        <f>VLOOKUP(표5[[#This Row],[상품번호]],상품!$A$2:$J$1048576,3,FALSE)</f>
        <v>7</v>
      </c>
    </row>
    <row r="23" spans="1:6" x14ac:dyDescent="0.3">
      <c r="A23" s="2">
        <v>22</v>
      </c>
      <c r="B23" s="2" t="s">
        <v>527</v>
      </c>
      <c r="C23" s="2">
        <v>21</v>
      </c>
      <c r="D23" s="11">
        <v>44792</v>
      </c>
      <c r="E23" s="2" t="str">
        <f>WEEKNUM(표5[[#This Row],[구매날짜]]) &amp; "주"</f>
        <v>34주</v>
      </c>
      <c r="F23" s="2">
        <f>VLOOKUP(표5[[#This Row],[상품번호]],상품!$A$2:$J$1048576,3,FALSE)</f>
        <v>19</v>
      </c>
    </row>
    <row r="24" spans="1:6" x14ac:dyDescent="0.3">
      <c r="A24" s="2">
        <v>23</v>
      </c>
      <c r="B24" s="2" t="s">
        <v>196</v>
      </c>
      <c r="C24" s="2">
        <v>20</v>
      </c>
      <c r="D24" s="11">
        <v>44792</v>
      </c>
      <c r="E24" s="2" t="str">
        <f>WEEKNUM(표5[[#This Row],[구매날짜]]) &amp; "주"</f>
        <v>34주</v>
      </c>
      <c r="F24" s="2">
        <f>VLOOKUP(표5[[#This Row],[상품번호]],상품!$A$2:$J$1048576,3,FALSE)</f>
        <v>23</v>
      </c>
    </row>
    <row r="25" spans="1:6" x14ac:dyDescent="0.3">
      <c r="A25" s="2">
        <v>24</v>
      </c>
      <c r="B25" s="2" t="s">
        <v>486</v>
      </c>
      <c r="C25" s="2">
        <v>1</v>
      </c>
      <c r="D25" s="11">
        <v>44792</v>
      </c>
      <c r="E25" s="2" t="str">
        <f>WEEKNUM(표5[[#This Row],[구매날짜]]) &amp; "주"</f>
        <v>34주</v>
      </c>
      <c r="F25" s="2">
        <f>VLOOKUP(표5[[#This Row],[상품번호]],상품!$A$2:$J$1048576,3,FALSE)</f>
        <v>5</v>
      </c>
    </row>
    <row r="26" spans="1:6" x14ac:dyDescent="0.3">
      <c r="A26" s="2">
        <v>25</v>
      </c>
      <c r="B26" s="2" t="s">
        <v>394</v>
      </c>
      <c r="C26" s="2">
        <v>8</v>
      </c>
      <c r="D26" s="11">
        <v>44793</v>
      </c>
      <c r="E26" s="2" t="str">
        <f>WEEKNUM(표5[[#This Row],[구매날짜]]) &amp; "주"</f>
        <v>34주</v>
      </c>
      <c r="F26" s="2">
        <f>VLOOKUP(표5[[#This Row],[상품번호]],상품!$A$2:$J$1048576,3,FALSE)</f>
        <v>1</v>
      </c>
    </row>
    <row r="27" spans="1:6" x14ac:dyDescent="0.3">
      <c r="A27" s="2">
        <v>26</v>
      </c>
      <c r="B27" s="2" t="s">
        <v>646</v>
      </c>
      <c r="C27" s="2">
        <v>4</v>
      </c>
      <c r="D27" s="11">
        <v>44794</v>
      </c>
      <c r="E27" s="2" t="str">
        <f>WEEKNUM(표5[[#This Row],[구매날짜]]) &amp; "주"</f>
        <v>35주</v>
      </c>
      <c r="F27" s="2">
        <f>VLOOKUP(표5[[#This Row],[상품번호]],상품!$A$2:$J$1048576,3,FALSE)</f>
        <v>7</v>
      </c>
    </row>
    <row r="28" spans="1:6" x14ac:dyDescent="0.3">
      <c r="A28" s="2">
        <v>27</v>
      </c>
      <c r="B28" s="2" t="s">
        <v>307</v>
      </c>
      <c r="C28" s="2">
        <v>8</v>
      </c>
      <c r="D28" s="11">
        <v>44794</v>
      </c>
      <c r="E28" s="2" t="str">
        <f>WEEKNUM(표5[[#This Row],[구매날짜]]) &amp; "주"</f>
        <v>35주</v>
      </c>
      <c r="F28" s="2">
        <f>VLOOKUP(표5[[#This Row],[상품번호]],상품!$A$2:$J$1048576,3,FALSE)</f>
        <v>22</v>
      </c>
    </row>
    <row r="29" spans="1:6" x14ac:dyDescent="0.3">
      <c r="A29" s="2">
        <v>28</v>
      </c>
      <c r="B29" s="2" t="s">
        <v>789</v>
      </c>
      <c r="C29" s="2">
        <v>14</v>
      </c>
      <c r="D29" s="11">
        <v>44794</v>
      </c>
      <c r="E29" s="2" t="str">
        <f>WEEKNUM(표5[[#This Row],[구매날짜]]) &amp; "주"</f>
        <v>35주</v>
      </c>
      <c r="F29" s="2">
        <f>VLOOKUP(표5[[#This Row],[상품번호]],상품!$A$2:$J$1048576,3,FALSE)</f>
        <v>5</v>
      </c>
    </row>
    <row r="30" spans="1:6" x14ac:dyDescent="0.3">
      <c r="A30" s="2">
        <v>29</v>
      </c>
      <c r="B30" s="2" t="s">
        <v>702</v>
      </c>
      <c r="C30" s="2">
        <v>19</v>
      </c>
      <c r="D30" s="11">
        <v>44794</v>
      </c>
      <c r="E30" s="2" t="str">
        <f>WEEKNUM(표5[[#This Row],[구매날짜]]) &amp; "주"</f>
        <v>35주</v>
      </c>
      <c r="F30" s="2">
        <f>VLOOKUP(표5[[#This Row],[상품번호]],상품!$A$2:$J$1048576,3,FALSE)</f>
        <v>10</v>
      </c>
    </row>
    <row r="31" spans="1:6" x14ac:dyDescent="0.3">
      <c r="A31" s="2">
        <v>30</v>
      </c>
      <c r="B31" s="2" t="s">
        <v>234</v>
      </c>
      <c r="C31" s="2">
        <v>17</v>
      </c>
      <c r="D31" s="11">
        <v>44795</v>
      </c>
      <c r="E31" s="2" t="str">
        <f>WEEKNUM(표5[[#This Row],[구매날짜]]) &amp; "주"</f>
        <v>35주</v>
      </c>
      <c r="F31" s="2">
        <f>VLOOKUP(표5[[#This Row],[상품번호]],상품!$A$2:$J$1048576,3,FALSE)</f>
        <v>12</v>
      </c>
    </row>
    <row r="32" spans="1:6" x14ac:dyDescent="0.3">
      <c r="A32" s="2">
        <v>31</v>
      </c>
      <c r="B32" s="2" t="s">
        <v>258</v>
      </c>
      <c r="C32" s="2">
        <v>15</v>
      </c>
      <c r="D32" s="11">
        <v>44796</v>
      </c>
      <c r="E32" s="2" t="str">
        <f>WEEKNUM(표5[[#This Row],[구매날짜]]) &amp; "주"</f>
        <v>35주</v>
      </c>
      <c r="F32" s="2">
        <f>VLOOKUP(표5[[#This Row],[상품번호]],상품!$A$2:$J$1048576,3,FALSE)</f>
        <v>23</v>
      </c>
    </row>
    <row r="33" spans="1:6" x14ac:dyDescent="0.3">
      <c r="A33" s="2">
        <v>32</v>
      </c>
      <c r="B33" s="2" t="s">
        <v>220</v>
      </c>
      <c r="C33" s="2">
        <v>18</v>
      </c>
      <c r="D33" s="11">
        <v>44797</v>
      </c>
      <c r="E33" s="2" t="str">
        <f>WEEKNUM(표5[[#This Row],[구매날짜]]) &amp; "주"</f>
        <v>35주</v>
      </c>
      <c r="F33" s="2">
        <f>VLOOKUP(표5[[#This Row],[상품번호]],상품!$A$2:$J$1048576,3,FALSE)</f>
        <v>19</v>
      </c>
    </row>
    <row r="34" spans="1:6" x14ac:dyDescent="0.3">
      <c r="A34" s="2">
        <v>33</v>
      </c>
      <c r="B34" s="2" t="s">
        <v>768</v>
      </c>
      <c r="C34" s="2">
        <v>16</v>
      </c>
      <c r="D34" s="11">
        <v>44797</v>
      </c>
      <c r="E34" s="2" t="str">
        <f>WEEKNUM(표5[[#This Row],[구매날짜]]) &amp; "주"</f>
        <v>35주</v>
      </c>
      <c r="F34" s="2">
        <f>VLOOKUP(표5[[#This Row],[상품번호]],상품!$A$2:$J$1048576,3,FALSE)</f>
        <v>3</v>
      </c>
    </row>
    <row r="35" spans="1:6" x14ac:dyDescent="0.3">
      <c r="A35" s="2">
        <v>34</v>
      </c>
      <c r="B35" s="2" t="s">
        <v>356</v>
      </c>
      <c r="C35" s="2">
        <v>1</v>
      </c>
      <c r="D35" s="11">
        <v>44797</v>
      </c>
      <c r="E35" s="2" t="str">
        <f>WEEKNUM(표5[[#This Row],[구매날짜]]) &amp; "주"</f>
        <v>35주</v>
      </c>
      <c r="F35" s="2">
        <f>VLOOKUP(표5[[#This Row],[상품번호]],상품!$A$2:$J$1048576,3,FALSE)</f>
        <v>9</v>
      </c>
    </row>
    <row r="36" spans="1:6" x14ac:dyDescent="0.3">
      <c r="A36" s="2">
        <v>35</v>
      </c>
      <c r="B36" s="2" t="s">
        <v>193</v>
      </c>
      <c r="C36" s="2">
        <v>20</v>
      </c>
      <c r="D36" s="11">
        <v>44798</v>
      </c>
      <c r="E36" s="2" t="str">
        <f>WEEKNUM(표5[[#This Row],[구매날짜]]) &amp; "주"</f>
        <v>35주</v>
      </c>
      <c r="F36" s="2">
        <f>VLOOKUP(표5[[#This Row],[상품번호]],상품!$A$2:$J$1048576,3,FALSE)</f>
        <v>10</v>
      </c>
    </row>
    <row r="37" spans="1:6" x14ac:dyDescent="0.3">
      <c r="A37" s="2">
        <v>36</v>
      </c>
      <c r="B37" s="2" t="s">
        <v>596</v>
      </c>
      <c r="C37" s="2">
        <v>23</v>
      </c>
      <c r="D37" s="11">
        <v>44798</v>
      </c>
      <c r="E37" s="2" t="str">
        <f>WEEKNUM(표5[[#This Row],[구매날짜]]) &amp; "주"</f>
        <v>35주</v>
      </c>
      <c r="F37" s="2">
        <f>VLOOKUP(표5[[#This Row],[상품번호]],상품!$A$2:$J$1048576,3,FALSE)</f>
        <v>17</v>
      </c>
    </row>
    <row r="38" spans="1:6" x14ac:dyDescent="0.3">
      <c r="A38" s="2">
        <v>37</v>
      </c>
      <c r="B38" s="2" t="s">
        <v>455</v>
      </c>
      <c r="C38" s="2">
        <v>22</v>
      </c>
      <c r="D38" s="11">
        <v>44799</v>
      </c>
      <c r="E38" s="2" t="str">
        <f>WEEKNUM(표5[[#This Row],[구매날짜]]) &amp; "주"</f>
        <v>35주</v>
      </c>
      <c r="F38" s="2">
        <f>VLOOKUP(표5[[#This Row],[상품번호]],상품!$A$2:$J$1048576,3,FALSE)</f>
        <v>15</v>
      </c>
    </row>
    <row r="39" spans="1:6" x14ac:dyDescent="0.3">
      <c r="A39" s="2">
        <v>38</v>
      </c>
      <c r="B39" s="2" t="s">
        <v>419</v>
      </c>
      <c r="C39" s="2">
        <v>2</v>
      </c>
      <c r="D39" s="11">
        <v>44799</v>
      </c>
      <c r="E39" s="2" t="str">
        <f>WEEKNUM(표5[[#This Row],[구매날짜]]) &amp; "주"</f>
        <v>35주</v>
      </c>
      <c r="F39" s="2">
        <f>VLOOKUP(표5[[#This Row],[상품번호]],상품!$A$2:$J$1048576,3,FALSE)</f>
        <v>22</v>
      </c>
    </row>
    <row r="40" spans="1:6" x14ac:dyDescent="0.3">
      <c r="A40" s="2">
        <v>39</v>
      </c>
      <c r="B40" s="2" t="s">
        <v>637</v>
      </c>
      <c r="C40" s="2">
        <v>1</v>
      </c>
      <c r="D40" s="11">
        <v>44800</v>
      </c>
      <c r="E40" s="2" t="str">
        <f>WEEKNUM(표5[[#This Row],[구매날짜]]) &amp; "주"</f>
        <v>35주</v>
      </c>
      <c r="F40" s="2">
        <f>VLOOKUP(표5[[#This Row],[상품번호]],상품!$A$2:$J$1048576,3,FALSE)</f>
        <v>9</v>
      </c>
    </row>
    <row r="41" spans="1:6" x14ac:dyDescent="0.3">
      <c r="A41" s="2">
        <v>40</v>
      </c>
      <c r="B41" s="2" t="s">
        <v>408</v>
      </c>
      <c r="C41" s="2">
        <v>1</v>
      </c>
      <c r="D41" s="11">
        <v>44801</v>
      </c>
      <c r="E41" s="2" t="str">
        <f>WEEKNUM(표5[[#This Row],[구매날짜]]) &amp; "주"</f>
        <v>36주</v>
      </c>
      <c r="F41" s="2">
        <f>VLOOKUP(표5[[#This Row],[상품번호]],상품!$A$2:$J$1048576,3,FALSE)</f>
        <v>20</v>
      </c>
    </row>
    <row r="42" spans="1:6" x14ac:dyDescent="0.3">
      <c r="A42" s="2">
        <v>41</v>
      </c>
      <c r="B42" s="2" t="s">
        <v>556</v>
      </c>
      <c r="C42" s="2">
        <v>8</v>
      </c>
      <c r="D42" s="11">
        <v>44801</v>
      </c>
      <c r="E42" s="2" t="str">
        <f>WEEKNUM(표5[[#This Row],[구매날짜]]) &amp; "주"</f>
        <v>36주</v>
      </c>
      <c r="F42" s="2">
        <f>VLOOKUP(표5[[#This Row],[상품번호]],상품!$A$2:$J$1048576,3,FALSE)</f>
        <v>2</v>
      </c>
    </row>
    <row r="43" spans="1:6" x14ac:dyDescent="0.3">
      <c r="A43" s="2">
        <v>42</v>
      </c>
      <c r="B43" s="2" t="s">
        <v>583</v>
      </c>
      <c r="C43" s="2">
        <v>13</v>
      </c>
      <c r="D43" s="11">
        <v>44802</v>
      </c>
      <c r="E43" s="2" t="str">
        <f>WEEKNUM(표5[[#This Row],[구매날짜]]) &amp; "주"</f>
        <v>36주</v>
      </c>
      <c r="F43" s="2">
        <f>VLOOKUP(표5[[#This Row],[상품번호]],상품!$A$2:$J$1048576,3,FALSE)</f>
        <v>5</v>
      </c>
    </row>
    <row r="44" spans="1:6" x14ac:dyDescent="0.3">
      <c r="A44" s="2">
        <v>43</v>
      </c>
      <c r="B44" s="2" t="s">
        <v>756</v>
      </c>
      <c r="C44" s="2">
        <v>14</v>
      </c>
      <c r="D44" s="11">
        <v>44802</v>
      </c>
      <c r="E44" s="2" t="str">
        <f>WEEKNUM(표5[[#This Row],[구매날짜]]) &amp; "주"</f>
        <v>36주</v>
      </c>
      <c r="F44" s="2">
        <f>VLOOKUP(표5[[#This Row],[상품번호]],상품!$A$2:$J$1048576,3,FALSE)</f>
        <v>21</v>
      </c>
    </row>
    <row r="45" spans="1:6" x14ac:dyDescent="0.3">
      <c r="A45" s="2">
        <v>44</v>
      </c>
      <c r="B45" s="2" t="s">
        <v>367</v>
      </c>
      <c r="C45" s="2">
        <v>20</v>
      </c>
      <c r="D45" s="11">
        <v>44802</v>
      </c>
      <c r="E45" s="2" t="str">
        <f>WEEKNUM(표5[[#This Row],[구매날짜]]) &amp; "주"</f>
        <v>36주</v>
      </c>
      <c r="F45" s="2">
        <f>VLOOKUP(표5[[#This Row],[상품번호]],상품!$A$2:$J$1048576,3,FALSE)</f>
        <v>20</v>
      </c>
    </row>
    <row r="46" spans="1:6" x14ac:dyDescent="0.3">
      <c r="A46" s="2">
        <v>45</v>
      </c>
      <c r="B46" s="2" t="s">
        <v>811</v>
      </c>
      <c r="C46" s="2">
        <v>25</v>
      </c>
      <c r="D46" s="11">
        <v>44802</v>
      </c>
      <c r="E46" s="2" t="str">
        <f>WEEKNUM(표5[[#This Row],[구매날짜]]) &amp; "주"</f>
        <v>36주</v>
      </c>
      <c r="F46" s="2">
        <f>VLOOKUP(표5[[#This Row],[상품번호]],상품!$A$2:$J$1048576,3,FALSE)</f>
        <v>9</v>
      </c>
    </row>
    <row r="47" spans="1:6" x14ac:dyDescent="0.3">
      <c r="E47" s="23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8</xdr:col>
                <xdr:colOff>400050</xdr:colOff>
                <xdr:row>1</xdr:row>
                <xdr:rowOff>200025</xdr:rowOff>
              </from>
              <to>
                <xdr:col>10</xdr:col>
                <xdr:colOff>352425</xdr:colOff>
                <xdr:row>3</xdr:row>
                <xdr:rowOff>180975</xdr:rowOff>
              </to>
            </anchor>
          </controlPr>
        </control>
      </mc:Choice>
      <mc:Fallback>
        <control shapeId="6145" r:id="rId3" name="CommandButton1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47"/>
  <sheetViews>
    <sheetView zoomScale="85" zoomScaleNormal="85" workbookViewId="0">
      <selection activeCell="H16" sqref="H16"/>
    </sheetView>
  </sheetViews>
  <sheetFormatPr defaultRowHeight="32.25" customHeight="1" x14ac:dyDescent="0.3"/>
  <cols>
    <col min="1" max="1" width="5.25" style="2" bestFit="1" customWidth="1"/>
    <col min="2" max="2" width="9" style="2" bestFit="1" customWidth="1"/>
    <col min="3" max="3" width="36.625" style="2" bestFit="1" customWidth="1"/>
    <col min="4" max="4" width="5.25" style="2" bestFit="1" customWidth="1"/>
  </cols>
  <sheetData>
    <row r="1" spans="1:6" ht="16.5" x14ac:dyDescent="0.3">
      <c r="A1" s="2" t="s">
        <v>0</v>
      </c>
      <c r="B1" s="2" t="s">
        <v>889</v>
      </c>
      <c r="C1" s="2" t="s">
        <v>890</v>
      </c>
      <c r="D1" s="2" t="s">
        <v>891</v>
      </c>
      <c r="E1" s="2" t="s">
        <v>919</v>
      </c>
      <c r="F1" s="2" t="s">
        <v>954</v>
      </c>
    </row>
    <row r="2" spans="1:6" ht="32.25" customHeight="1" x14ac:dyDescent="0.3">
      <c r="A2" s="2">
        <v>1</v>
      </c>
      <c r="C2" s="2" t="s">
        <v>892</v>
      </c>
      <c r="D2" s="2">
        <v>1</v>
      </c>
      <c r="E2" s="2">
        <f>IF(표6[[#This Row],[점수]]=1,0.2,IF(표6[[#This Row],[점수]] = 0,0,-0.2))</f>
        <v>0.2</v>
      </c>
      <c r="F2" s="2">
        <f>VLOOKUP(VLOOKUP(표6[[#This Row],[번호]],표5[],2,FALSE),상품!$A$1:$J$1048575,3,FALSE)</f>
        <v>7</v>
      </c>
    </row>
    <row r="3" spans="1:6" ht="32.25" customHeight="1" x14ac:dyDescent="0.3">
      <c r="A3" s="2">
        <v>2</v>
      </c>
      <c r="C3" s="2" t="s">
        <v>893</v>
      </c>
      <c r="D3" s="2">
        <v>1</v>
      </c>
      <c r="E3" s="2">
        <f>IF(표6[[#This Row],[점수]]=1,0.2,IF(표6[[#This Row],[점수]] = 0,0,-0.2))</f>
        <v>0.2</v>
      </c>
      <c r="F3" s="2">
        <f>VLOOKUP(VLOOKUP(표6[[#This Row],[번호]],표5[],2,FALSE),상품!$A$1:$J$1048575,3,FALSE)</f>
        <v>11</v>
      </c>
    </row>
    <row r="4" spans="1:6" ht="32.25" customHeight="1" x14ac:dyDescent="0.3">
      <c r="A4" s="2">
        <v>3</v>
      </c>
      <c r="C4" s="2" t="s">
        <v>894</v>
      </c>
      <c r="D4" s="2">
        <v>1</v>
      </c>
      <c r="E4" s="2">
        <f>IF(표6[[#This Row],[점수]]=1,0.2,IF(표6[[#This Row],[점수]] = 0,0,-0.2))</f>
        <v>0.2</v>
      </c>
      <c r="F4" s="2">
        <f>VLOOKUP(VLOOKUP(표6[[#This Row],[번호]],표5[],2,FALSE),상품!$A$1:$J$1048575,3,FALSE)</f>
        <v>23</v>
      </c>
    </row>
    <row r="5" spans="1:6" ht="32.25" customHeight="1" x14ac:dyDescent="0.3">
      <c r="A5" s="2">
        <v>4</v>
      </c>
      <c r="C5" s="2" t="s">
        <v>895</v>
      </c>
      <c r="D5" s="2">
        <v>0</v>
      </c>
      <c r="E5" s="2">
        <f>IF(표6[[#This Row],[점수]]=1,0.2,IF(표6[[#This Row],[점수]] = 0,0,-0.2))</f>
        <v>0</v>
      </c>
      <c r="F5" s="2">
        <f>VLOOKUP(VLOOKUP(표6[[#This Row],[번호]],표5[],2,FALSE),상품!$A$1:$J$1048575,3,FALSE)</f>
        <v>2</v>
      </c>
    </row>
    <row r="6" spans="1:6" ht="32.25" customHeight="1" x14ac:dyDescent="0.3">
      <c r="A6" s="2">
        <v>5</v>
      </c>
      <c r="C6" s="2" t="s">
        <v>896</v>
      </c>
      <c r="D6" s="2">
        <v>1</v>
      </c>
      <c r="E6" s="2">
        <f>IF(표6[[#This Row],[점수]]=1,0.2,IF(표6[[#This Row],[점수]] = 0,0,-0.2))</f>
        <v>0.2</v>
      </c>
      <c r="F6" s="2">
        <f>VLOOKUP(VLOOKUP(표6[[#This Row],[번호]],표5[],2,FALSE),상품!$A$1:$J$1048575,3,FALSE)</f>
        <v>14</v>
      </c>
    </row>
    <row r="7" spans="1:6" ht="32.25" customHeight="1" x14ac:dyDescent="0.3">
      <c r="A7" s="2">
        <v>6</v>
      </c>
      <c r="E7" s="2">
        <f>IF(표6[[#This Row],[점수]]=1,0.2,IF(표6[[#This Row],[점수]] = 0,0,-0.2))</f>
        <v>0</v>
      </c>
      <c r="F7" s="2">
        <f>VLOOKUP(VLOOKUP(표6[[#This Row],[번호]],표5[],2,FALSE),상품!$A$1:$J$1048575,3,FALSE)</f>
        <v>2</v>
      </c>
    </row>
    <row r="8" spans="1:6" ht="32.25" customHeight="1" x14ac:dyDescent="0.3">
      <c r="A8" s="2">
        <v>7</v>
      </c>
      <c r="E8" s="2">
        <f>IF(표6[[#This Row],[점수]]=1,0.2,IF(표6[[#This Row],[점수]] = 0,0,-0.2))</f>
        <v>0</v>
      </c>
      <c r="F8" s="2">
        <f>VLOOKUP(VLOOKUP(표6[[#This Row],[번호]],표5[],2,FALSE),상품!$A$1:$J$1048575,3,FALSE)</f>
        <v>7</v>
      </c>
    </row>
    <row r="9" spans="1:6" ht="32.25" customHeight="1" x14ac:dyDescent="0.3">
      <c r="A9" s="2">
        <v>8</v>
      </c>
      <c r="C9" s="2" t="s">
        <v>897</v>
      </c>
      <c r="D9" s="2">
        <v>0</v>
      </c>
      <c r="E9" s="2">
        <f>IF(표6[[#This Row],[점수]]=1,0.2,IF(표6[[#This Row],[점수]] = 0,0,-0.2))</f>
        <v>0</v>
      </c>
      <c r="F9" s="2">
        <f>VLOOKUP(VLOOKUP(표6[[#This Row],[번호]],표5[],2,FALSE),상품!$A$1:$J$1048575,3,FALSE)</f>
        <v>11</v>
      </c>
    </row>
    <row r="10" spans="1:6" ht="32.25" customHeight="1" x14ac:dyDescent="0.3">
      <c r="A10" s="2">
        <v>9</v>
      </c>
      <c r="C10" s="2" t="s">
        <v>898</v>
      </c>
      <c r="D10" s="2">
        <v>0</v>
      </c>
      <c r="E10" s="2">
        <f>IF(표6[[#This Row],[점수]]=1,0.2,IF(표6[[#This Row],[점수]] = 0,0,-0.2))</f>
        <v>0</v>
      </c>
      <c r="F10" s="2">
        <f>VLOOKUP(VLOOKUP(표6[[#This Row],[번호]],표5[],2,FALSE),상품!$A$1:$J$1048575,3,FALSE)</f>
        <v>17</v>
      </c>
    </row>
    <row r="11" spans="1:6" ht="32.25" customHeight="1" x14ac:dyDescent="0.3">
      <c r="A11" s="2">
        <v>10</v>
      </c>
      <c r="E11" s="2">
        <f>IF(표6[[#This Row],[점수]]=1,0.2,IF(표6[[#This Row],[점수]] = 0,0,-0.2))</f>
        <v>0</v>
      </c>
      <c r="F11" s="2">
        <f>VLOOKUP(VLOOKUP(표6[[#This Row],[번호]],표5[],2,FALSE),상품!$A$1:$J$1048575,3,FALSE)</f>
        <v>8</v>
      </c>
    </row>
    <row r="12" spans="1:6" ht="32.25" customHeight="1" x14ac:dyDescent="0.3">
      <c r="A12" s="2">
        <v>11</v>
      </c>
      <c r="E12" s="2">
        <f>IF(표6[[#This Row],[점수]]=1,0.2,IF(표6[[#This Row],[점수]] = 0,0,-0.2))</f>
        <v>0</v>
      </c>
      <c r="F12" s="2">
        <f>VLOOKUP(VLOOKUP(표6[[#This Row],[번호]],표5[],2,FALSE),상품!$A$1:$J$1048575,3,FALSE)</f>
        <v>13</v>
      </c>
    </row>
    <row r="13" spans="1:6" ht="32.25" customHeight="1" x14ac:dyDescent="0.3">
      <c r="A13" s="2">
        <v>12</v>
      </c>
      <c r="E13" s="2">
        <f>IF(표6[[#This Row],[점수]]=1,0.2,IF(표6[[#This Row],[점수]] = 0,0,-0.2))</f>
        <v>0</v>
      </c>
      <c r="F13" s="2">
        <f>VLOOKUP(VLOOKUP(표6[[#This Row],[번호]],표5[],2,FALSE),상품!$A$1:$J$1048575,3,FALSE)</f>
        <v>14</v>
      </c>
    </row>
    <row r="14" spans="1:6" ht="32.25" customHeight="1" x14ac:dyDescent="0.3">
      <c r="A14" s="2">
        <v>13</v>
      </c>
      <c r="E14" s="2">
        <f>IF(표6[[#This Row],[점수]]=1,0.2,IF(표6[[#This Row],[점수]] = 0,0,-0.2))</f>
        <v>0</v>
      </c>
      <c r="F14" s="2">
        <f>VLOOKUP(VLOOKUP(표6[[#This Row],[번호]],표5[],2,FALSE),상품!$A$1:$J$1048575,3,FALSE)</f>
        <v>15</v>
      </c>
    </row>
    <row r="15" spans="1:6" ht="32.25" customHeight="1" x14ac:dyDescent="0.3">
      <c r="A15" s="2">
        <v>14</v>
      </c>
      <c r="E15" s="2">
        <f>IF(표6[[#This Row],[점수]]=1,0.2,IF(표6[[#This Row],[점수]] = 0,0,-0.2))</f>
        <v>0</v>
      </c>
      <c r="F15" s="2">
        <f>VLOOKUP(VLOOKUP(표6[[#This Row],[번호]],표5[],2,FALSE),상품!$A$1:$J$1048575,3,FALSE)</f>
        <v>21</v>
      </c>
    </row>
    <row r="16" spans="1:6" ht="32.25" customHeight="1" x14ac:dyDescent="0.3">
      <c r="A16" s="2">
        <v>15</v>
      </c>
      <c r="E16" s="2">
        <f>IF(표6[[#This Row],[점수]]=1,0.2,IF(표6[[#This Row],[점수]] = 0,0,-0.2))</f>
        <v>0</v>
      </c>
      <c r="F16" s="2">
        <f>VLOOKUP(VLOOKUP(표6[[#This Row],[번호]],표5[],2,FALSE),상품!$A$1:$J$1048575,3,FALSE)</f>
        <v>13</v>
      </c>
    </row>
    <row r="17" spans="1:6" ht="32.25" customHeight="1" x14ac:dyDescent="0.3">
      <c r="A17" s="2">
        <v>16</v>
      </c>
      <c r="C17" s="2" t="s">
        <v>899</v>
      </c>
      <c r="D17" s="2">
        <v>0</v>
      </c>
      <c r="E17" s="2">
        <f>IF(표6[[#This Row],[점수]]=1,0.2,IF(표6[[#This Row],[점수]] = 0,0,-0.2))</f>
        <v>0</v>
      </c>
      <c r="F17" s="2">
        <f>VLOOKUP(VLOOKUP(표6[[#This Row],[번호]],표5[],2,FALSE),상품!$A$1:$J$1048575,3,FALSE)</f>
        <v>12</v>
      </c>
    </row>
    <row r="18" spans="1:6" ht="32.25" customHeight="1" x14ac:dyDescent="0.3">
      <c r="A18" s="2">
        <v>17</v>
      </c>
      <c r="C18" s="2" t="s">
        <v>900</v>
      </c>
      <c r="D18" s="2">
        <v>1</v>
      </c>
      <c r="E18" s="2">
        <f>IF(표6[[#This Row],[점수]]=1,0.2,IF(표6[[#This Row],[점수]] = 0,0,-0.2))</f>
        <v>0.2</v>
      </c>
      <c r="F18" s="2">
        <f>VLOOKUP(VLOOKUP(표6[[#This Row],[번호]],표5[],2,FALSE),상품!$A$1:$J$1048575,3,FALSE)</f>
        <v>10</v>
      </c>
    </row>
    <row r="19" spans="1:6" ht="32.25" customHeight="1" x14ac:dyDescent="0.3">
      <c r="A19" s="2">
        <v>18</v>
      </c>
      <c r="E19" s="2">
        <f>IF(표6[[#This Row],[점수]]=1,0.2,IF(표6[[#This Row],[점수]] = 0,0,-0.2))</f>
        <v>0</v>
      </c>
      <c r="F19" s="2">
        <f>VLOOKUP(VLOOKUP(표6[[#This Row],[번호]],표5[],2,FALSE),상품!$A$1:$J$1048575,3,FALSE)</f>
        <v>21</v>
      </c>
    </row>
    <row r="20" spans="1:6" ht="32.25" customHeight="1" x14ac:dyDescent="0.3">
      <c r="A20" s="2">
        <v>19</v>
      </c>
      <c r="C20" s="2" t="s">
        <v>901</v>
      </c>
      <c r="D20" s="2">
        <v>-1</v>
      </c>
      <c r="E20" s="2">
        <f>IF(표6[[#This Row],[점수]]=1,0.2,IF(표6[[#This Row],[점수]] = 0,0,-0.2))</f>
        <v>-0.2</v>
      </c>
      <c r="F20" s="2">
        <f>VLOOKUP(VLOOKUP(표6[[#This Row],[번호]],표5[],2,FALSE),상품!$A$1:$J$1048575,3,FALSE)</f>
        <v>18</v>
      </c>
    </row>
    <row r="21" spans="1:6" ht="32.25" customHeight="1" x14ac:dyDescent="0.3">
      <c r="A21" s="2">
        <v>20</v>
      </c>
      <c r="C21" s="2" t="s">
        <v>902</v>
      </c>
      <c r="D21" s="2">
        <v>-1</v>
      </c>
      <c r="E21" s="2">
        <f>IF(표6[[#This Row],[점수]]=1,0.2,IF(표6[[#This Row],[점수]] = 0,0,-0.2))</f>
        <v>-0.2</v>
      </c>
      <c r="F21" s="2">
        <f>VLOOKUP(VLOOKUP(표6[[#This Row],[번호]],표5[],2,FALSE),상품!$A$1:$J$1048575,3,FALSE)</f>
        <v>6</v>
      </c>
    </row>
    <row r="22" spans="1:6" ht="32.25" customHeight="1" x14ac:dyDescent="0.3">
      <c r="A22" s="2">
        <v>21</v>
      </c>
      <c r="C22" s="2" t="s">
        <v>903</v>
      </c>
      <c r="D22" s="2">
        <v>0</v>
      </c>
      <c r="E22" s="2">
        <f>IF(표6[[#This Row],[점수]]=1,0.2,IF(표6[[#This Row],[점수]] = 0,0,-0.2))</f>
        <v>0</v>
      </c>
      <c r="F22" s="2">
        <f>VLOOKUP(VLOOKUP(표6[[#This Row],[번호]],표5[],2,FALSE),상품!$A$1:$J$1048575,3,FALSE)</f>
        <v>7</v>
      </c>
    </row>
    <row r="23" spans="1:6" ht="32.25" customHeight="1" x14ac:dyDescent="0.3">
      <c r="A23" s="2">
        <v>22</v>
      </c>
      <c r="C23" s="2" t="s">
        <v>904</v>
      </c>
      <c r="D23" s="2">
        <v>1</v>
      </c>
      <c r="E23" s="2">
        <f>IF(표6[[#This Row],[점수]]=1,0.2,IF(표6[[#This Row],[점수]] = 0,0,-0.2))</f>
        <v>0.2</v>
      </c>
      <c r="F23" s="2">
        <f>VLOOKUP(VLOOKUP(표6[[#This Row],[번호]],표5[],2,FALSE),상품!$A$1:$J$1048575,3,FALSE)</f>
        <v>19</v>
      </c>
    </row>
    <row r="24" spans="1:6" ht="32.25" customHeight="1" x14ac:dyDescent="0.3">
      <c r="A24" s="2">
        <v>23</v>
      </c>
      <c r="C24" s="2" t="s">
        <v>905</v>
      </c>
      <c r="D24" s="2">
        <v>0</v>
      </c>
      <c r="E24" s="2">
        <f>IF(표6[[#This Row],[점수]]=1,0.2,IF(표6[[#This Row],[점수]] = 0,0,-0.2))</f>
        <v>0</v>
      </c>
      <c r="F24" s="2">
        <f>VLOOKUP(VLOOKUP(표6[[#This Row],[번호]],표5[],2,FALSE),상품!$A$1:$J$1048575,3,FALSE)</f>
        <v>23</v>
      </c>
    </row>
    <row r="25" spans="1:6" ht="32.25" customHeight="1" x14ac:dyDescent="0.3">
      <c r="A25" s="2">
        <v>24</v>
      </c>
      <c r="E25" s="2">
        <f>IF(표6[[#This Row],[점수]]=1,0.2,IF(표6[[#This Row],[점수]] = 0,0,-0.2))</f>
        <v>0</v>
      </c>
      <c r="F25" s="2">
        <f>VLOOKUP(VLOOKUP(표6[[#This Row],[번호]],표5[],2,FALSE),상품!$A$1:$J$1048575,3,FALSE)</f>
        <v>5</v>
      </c>
    </row>
    <row r="26" spans="1:6" ht="32.25" customHeight="1" x14ac:dyDescent="0.3">
      <c r="A26" s="2">
        <v>25</v>
      </c>
      <c r="E26" s="2">
        <f>IF(표6[[#This Row],[점수]]=1,0.2,IF(표6[[#This Row],[점수]] = 0,0,-0.2))</f>
        <v>0</v>
      </c>
      <c r="F26" s="2">
        <f>VLOOKUP(VLOOKUP(표6[[#This Row],[번호]],표5[],2,FALSE),상품!$A$1:$J$1048575,3,FALSE)</f>
        <v>1</v>
      </c>
    </row>
    <row r="27" spans="1:6" ht="32.25" customHeight="1" x14ac:dyDescent="0.3">
      <c r="A27" s="2">
        <v>26</v>
      </c>
      <c r="E27" s="2">
        <f>IF(표6[[#This Row],[점수]]=1,0.2,IF(표6[[#This Row],[점수]] = 0,0,-0.2))</f>
        <v>0</v>
      </c>
      <c r="F27" s="2">
        <f>VLOOKUP(VLOOKUP(표6[[#This Row],[번호]],표5[],2,FALSE),상품!$A$1:$J$1048575,3,FALSE)</f>
        <v>7</v>
      </c>
    </row>
    <row r="28" spans="1:6" ht="32.25" customHeight="1" x14ac:dyDescent="0.3">
      <c r="A28" s="2">
        <v>27</v>
      </c>
      <c r="E28" s="2">
        <f>IF(표6[[#This Row],[점수]]=1,0.2,IF(표6[[#This Row],[점수]] = 0,0,-0.2))</f>
        <v>0</v>
      </c>
      <c r="F28" s="2">
        <f>VLOOKUP(VLOOKUP(표6[[#This Row],[번호]],표5[],2,FALSE),상품!$A$1:$J$1048575,3,FALSE)</f>
        <v>22</v>
      </c>
    </row>
    <row r="29" spans="1:6" ht="32.25" customHeight="1" x14ac:dyDescent="0.3">
      <c r="A29" s="2">
        <v>28</v>
      </c>
      <c r="E29" s="2">
        <f>IF(표6[[#This Row],[점수]]=1,0.2,IF(표6[[#This Row],[점수]] = 0,0,-0.2))</f>
        <v>0</v>
      </c>
      <c r="F29" s="2">
        <f>VLOOKUP(VLOOKUP(표6[[#This Row],[번호]],표5[],2,FALSE),상품!$A$1:$J$1048575,3,FALSE)</f>
        <v>5</v>
      </c>
    </row>
    <row r="30" spans="1:6" ht="32.25" customHeight="1" x14ac:dyDescent="0.3">
      <c r="A30" s="2">
        <v>29</v>
      </c>
      <c r="E30" s="2">
        <f>IF(표6[[#This Row],[점수]]=1,0.2,IF(표6[[#This Row],[점수]] = 0,0,-0.2))</f>
        <v>0</v>
      </c>
      <c r="F30" s="2">
        <f>VLOOKUP(VLOOKUP(표6[[#This Row],[번호]],표5[],2,FALSE),상품!$A$1:$J$1048575,3,FALSE)</f>
        <v>10</v>
      </c>
    </row>
    <row r="31" spans="1:6" ht="32.25" customHeight="1" x14ac:dyDescent="0.3">
      <c r="A31" s="2">
        <v>30</v>
      </c>
      <c r="E31" s="2">
        <f>IF(표6[[#This Row],[점수]]=1,0.2,IF(표6[[#This Row],[점수]] = 0,0,-0.2))</f>
        <v>0</v>
      </c>
      <c r="F31" s="2">
        <f>VLOOKUP(VLOOKUP(표6[[#This Row],[번호]],표5[],2,FALSE),상품!$A$1:$J$1048575,3,FALSE)</f>
        <v>12</v>
      </c>
    </row>
    <row r="32" spans="1:6" ht="32.25" customHeight="1" x14ac:dyDescent="0.3">
      <c r="A32" s="2">
        <v>31</v>
      </c>
      <c r="C32" s="2" t="s">
        <v>906</v>
      </c>
      <c r="D32" s="2">
        <v>1</v>
      </c>
      <c r="E32" s="2">
        <f>IF(표6[[#This Row],[점수]]=1,0.2,IF(표6[[#This Row],[점수]] = 0,0,-0.2))</f>
        <v>0.2</v>
      </c>
      <c r="F32" s="2">
        <f>VLOOKUP(VLOOKUP(표6[[#This Row],[번호]],표5[],2,FALSE),상품!$A$1:$J$1048575,3,FALSE)</f>
        <v>23</v>
      </c>
    </row>
    <row r="33" spans="1:6" ht="32.25" customHeight="1" x14ac:dyDescent="0.3">
      <c r="A33" s="2">
        <v>32</v>
      </c>
      <c r="C33" s="2" t="s">
        <v>907</v>
      </c>
      <c r="D33" s="2">
        <v>1</v>
      </c>
      <c r="E33" s="2">
        <f>IF(표6[[#This Row],[점수]]=1,0.2,IF(표6[[#This Row],[점수]] = 0,0,-0.2))</f>
        <v>0.2</v>
      </c>
      <c r="F33" s="2">
        <f>VLOOKUP(VLOOKUP(표6[[#This Row],[번호]],표5[],2,FALSE),상품!$A$1:$J$1048575,3,FALSE)</f>
        <v>19</v>
      </c>
    </row>
    <row r="34" spans="1:6" ht="32.25" customHeight="1" x14ac:dyDescent="0.3">
      <c r="A34" s="2">
        <v>33</v>
      </c>
      <c r="C34" s="2" t="s">
        <v>908</v>
      </c>
      <c r="D34" s="2">
        <v>1</v>
      </c>
      <c r="E34" s="2">
        <f>IF(표6[[#This Row],[점수]]=1,0.2,IF(표6[[#This Row],[점수]] = 0,0,-0.2))</f>
        <v>0.2</v>
      </c>
      <c r="F34" s="2">
        <f>VLOOKUP(VLOOKUP(표6[[#This Row],[번호]],표5[],2,FALSE),상품!$A$1:$J$1048575,3,FALSE)</f>
        <v>3</v>
      </c>
    </row>
    <row r="35" spans="1:6" ht="32.25" customHeight="1" x14ac:dyDescent="0.3">
      <c r="A35" s="2">
        <v>34</v>
      </c>
      <c r="C35" s="2" t="s">
        <v>909</v>
      </c>
      <c r="D35" s="2">
        <v>-1</v>
      </c>
      <c r="E35" s="2">
        <f>IF(표6[[#This Row],[점수]]=1,0.2,IF(표6[[#This Row],[점수]] = 0,0,-0.2))</f>
        <v>-0.2</v>
      </c>
      <c r="F35" s="2">
        <f>VLOOKUP(VLOOKUP(표6[[#This Row],[번호]],표5[],2,FALSE),상품!$A$1:$J$1048575,3,FALSE)</f>
        <v>9</v>
      </c>
    </row>
    <row r="36" spans="1:6" ht="32.25" customHeight="1" x14ac:dyDescent="0.3">
      <c r="A36" s="2">
        <v>35</v>
      </c>
      <c r="E36" s="2">
        <f>IF(표6[[#This Row],[점수]]=1,0.2,IF(표6[[#This Row],[점수]] = 0,0,-0.2))</f>
        <v>0</v>
      </c>
      <c r="F36" s="2">
        <f>VLOOKUP(VLOOKUP(표6[[#This Row],[번호]],표5[],2,FALSE),상품!$A$1:$J$1048575,3,FALSE)</f>
        <v>10</v>
      </c>
    </row>
    <row r="37" spans="1:6" ht="32.25" customHeight="1" x14ac:dyDescent="0.3">
      <c r="A37" s="2">
        <v>36</v>
      </c>
      <c r="C37" s="2" t="s">
        <v>910</v>
      </c>
      <c r="D37" s="2">
        <v>1</v>
      </c>
      <c r="E37" s="2">
        <f>IF(표6[[#This Row],[점수]]=1,0.2,IF(표6[[#This Row],[점수]] = 0,0,-0.2))</f>
        <v>0.2</v>
      </c>
      <c r="F37" s="2">
        <f>VLOOKUP(VLOOKUP(표6[[#This Row],[번호]],표5[],2,FALSE),상품!$A$1:$J$1048575,3,FALSE)</f>
        <v>17</v>
      </c>
    </row>
    <row r="38" spans="1:6" ht="32.25" customHeight="1" x14ac:dyDescent="0.3">
      <c r="A38" s="2">
        <v>37</v>
      </c>
      <c r="C38" s="2" t="s">
        <v>911</v>
      </c>
      <c r="D38" s="2">
        <v>-1</v>
      </c>
      <c r="E38" s="2">
        <f>IF(표6[[#This Row],[점수]]=1,0.2,IF(표6[[#This Row],[점수]] = 0,0,-0.2))</f>
        <v>-0.2</v>
      </c>
      <c r="F38" s="2">
        <f>VLOOKUP(VLOOKUP(표6[[#This Row],[번호]],표5[],2,FALSE),상품!$A$1:$J$1048575,3,FALSE)</f>
        <v>15</v>
      </c>
    </row>
    <row r="39" spans="1:6" ht="32.25" customHeight="1" x14ac:dyDescent="0.3">
      <c r="A39" s="2">
        <v>38</v>
      </c>
      <c r="C39" s="2" t="s">
        <v>912</v>
      </c>
      <c r="D39" s="2">
        <v>1</v>
      </c>
      <c r="E39" s="2">
        <f>IF(표6[[#This Row],[점수]]=1,0.2,IF(표6[[#This Row],[점수]] = 0,0,-0.2))</f>
        <v>0.2</v>
      </c>
      <c r="F39" s="2">
        <f>VLOOKUP(VLOOKUP(표6[[#This Row],[번호]],표5[],2,FALSE),상품!$A$1:$J$1048575,3,FALSE)</f>
        <v>22</v>
      </c>
    </row>
    <row r="40" spans="1:6" ht="32.25" customHeight="1" x14ac:dyDescent="0.3">
      <c r="A40" s="2">
        <v>39</v>
      </c>
      <c r="C40" s="2" t="s">
        <v>913</v>
      </c>
      <c r="D40" s="2">
        <v>0</v>
      </c>
      <c r="E40" s="2">
        <f>IF(표6[[#This Row],[점수]]=1,0.2,IF(표6[[#This Row],[점수]] = 0,0,-0.2))</f>
        <v>0</v>
      </c>
      <c r="F40" s="2">
        <f>VLOOKUP(VLOOKUP(표6[[#This Row],[번호]],표5[],2,FALSE),상품!$A$1:$J$1048575,3,FALSE)</f>
        <v>9</v>
      </c>
    </row>
    <row r="41" spans="1:6" ht="32.25" customHeight="1" x14ac:dyDescent="0.3">
      <c r="A41" s="2">
        <v>40</v>
      </c>
      <c r="E41" s="2">
        <f>IF(표6[[#This Row],[점수]]=1,0.2,IF(표6[[#This Row],[점수]] = 0,0,-0.2))</f>
        <v>0</v>
      </c>
      <c r="F41" s="2">
        <f>VLOOKUP(VLOOKUP(표6[[#This Row],[번호]],표5[],2,FALSE),상품!$A$1:$J$1048575,3,FALSE)</f>
        <v>20</v>
      </c>
    </row>
    <row r="42" spans="1:6" ht="32.25" customHeight="1" x14ac:dyDescent="0.3">
      <c r="A42" s="2">
        <v>41</v>
      </c>
      <c r="E42" s="2">
        <f>IF(표6[[#This Row],[점수]]=1,0.2,IF(표6[[#This Row],[점수]] = 0,0,-0.2))</f>
        <v>0</v>
      </c>
      <c r="F42" s="2">
        <f>VLOOKUP(VLOOKUP(표6[[#This Row],[번호]],표5[],2,FALSE),상품!$A$1:$J$1048575,3,FALSE)</f>
        <v>2</v>
      </c>
    </row>
    <row r="43" spans="1:6" ht="32.25" customHeight="1" x14ac:dyDescent="0.3">
      <c r="A43" s="2">
        <v>42</v>
      </c>
      <c r="E43" s="2">
        <f>IF(표6[[#This Row],[점수]]=1,0.2,IF(표6[[#This Row],[점수]] = 0,0,-0.2))</f>
        <v>0</v>
      </c>
      <c r="F43" s="2">
        <f>VLOOKUP(VLOOKUP(표6[[#This Row],[번호]],표5[],2,FALSE),상품!$A$1:$J$1048575,3,FALSE)</f>
        <v>5</v>
      </c>
    </row>
    <row r="44" spans="1:6" ht="32.25" customHeight="1" x14ac:dyDescent="0.3">
      <c r="A44" s="2">
        <v>43</v>
      </c>
      <c r="E44" s="2">
        <f>IF(표6[[#This Row],[점수]]=1,0.2,IF(표6[[#This Row],[점수]] = 0,0,-0.2))</f>
        <v>0</v>
      </c>
      <c r="F44" s="2">
        <f>VLOOKUP(VLOOKUP(표6[[#This Row],[번호]],표5[],2,FALSE),상품!$A$1:$J$1048575,3,FALSE)</f>
        <v>21</v>
      </c>
    </row>
    <row r="45" spans="1:6" ht="32.25" customHeight="1" x14ac:dyDescent="0.3">
      <c r="A45" s="2">
        <v>44</v>
      </c>
      <c r="C45" s="2" t="s">
        <v>914</v>
      </c>
      <c r="D45" s="2">
        <v>-1</v>
      </c>
      <c r="E45" s="2">
        <f>IF(표6[[#This Row],[점수]]=1,0.2,IF(표6[[#This Row],[점수]] = 0,0,-0.2))</f>
        <v>-0.2</v>
      </c>
      <c r="F45" s="2">
        <f>VLOOKUP(VLOOKUP(표6[[#This Row],[번호]],표5[],2,FALSE),상품!$A$1:$J$1048575,3,FALSE)</f>
        <v>20</v>
      </c>
    </row>
    <row r="46" spans="1:6" ht="32.25" customHeight="1" x14ac:dyDescent="0.3">
      <c r="A46" s="2">
        <v>45</v>
      </c>
      <c r="E46" s="2">
        <f>IF(표6[[#This Row],[점수]]=1,0.2,IF(표6[[#This Row],[점수]] = 0,0,-0.2))</f>
        <v>0</v>
      </c>
      <c r="F46" s="2">
        <f>VLOOKUP(VLOOKUP(표6[[#This Row],[번호]],표5[],2,FALSE),상품!$A$1:$J$1048575,3,FALSE)</f>
        <v>9</v>
      </c>
    </row>
    <row r="47" spans="1:6" ht="32.25" customHeight="1" x14ac:dyDescent="0.3">
      <c r="E47" s="23"/>
      <c r="F47" s="23"/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G26"/>
  <sheetViews>
    <sheetView workbookViewId="0">
      <selection activeCell="L22" sqref="L22"/>
    </sheetView>
  </sheetViews>
  <sheetFormatPr defaultRowHeight="16.5" x14ac:dyDescent="0.3"/>
  <cols>
    <col min="1" max="1" width="11" bestFit="1" customWidth="1"/>
    <col min="6" max="6" width="11" bestFit="1" customWidth="1"/>
  </cols>
  <sheetData>
    <row r="1" spans="1:7" x14ac:dyDescent="0.3">
      <c r="A1" s="3" t="s">
        <v>5</v>
      </c>
      <c r="B1" s="12" t="s">
        <v>6</v>
      </c>
      <c r="F1" s="3" t="s">
        <v>5</v>
      </c>
      <c r="G1" s="12" t="s">
        <v>6</v>
      </c>
    </row>
    <row r="2" spans="1:7" x14ac:dyDescent="0.3">
      <c r="A2" s="32" t="s">
        <v>37</v>
      </c>
      <c r="B2" s="4" t="s">
        <v>38</v>
      </c>
      <c r="F2" s="29" t="s">
        <v>37</v>
      </c>
      <c r="G2" s="27" t="s">
        <v>38</v>
      </c>
    </row>
    <row r="3" spans="1:7" x14ac:dyDescent="0.3">
      <c r="A3" s="32"/>
      <c r="B3" s="4" t="s">
        <v>72</v>
      </c>
      <c r="F3" s="29" t="s">
        <v>37</v>
      </c>
      <c r="G3" s="27" t="s">
        <v>72</v>
      </c>
    </row>
    <row r="4" spans="1:7" x14ac:dyDescent="0.3">
      <c r="A4" s="32"/>
      <c r="B4" s="4" t="s">
        <v>96</v>
      </c>
      <c r="F4" s="29" t="s">
        <v>37</v>
      </c>
      <c r="G4" s="27" t="s">
        <v>96</v>
      </c>
    </row>
    <row r="5" spans="1:7" x14ac:dyDescent="0.3">
      <c r="A5" s="32"/>
      <c r="B5" s="4" t="s">
        <v>114</v>
      </c>
      <c r="F5" s="29" t="s">
        <v>37</v>
      </c>
      <c r="G5" s="27" t="s">
        <v>114</v>
      </c>
    </row>
    <row r="6" spans="1:7" x14ac:dyDescent="0.3">
      <c r="A6" s="32"/>
      <c r="B6" s="4" t="s">
        <v>138</v>
      </c>
      <c r="F6" s="29" t="s">
        <v>37</v>
      </c>
      <c r="G6" s="27" t="s">
        <v>138</v>
      </c>
    </row>
    <row r="7" spans="1:7" x14ac:dyDescent="0.3">
      <c r="A7" s="32" t="s">
        <v>10</v>
      </c>
      <c r="B7" s="4" t="s">
        <v>11</v>
      </c>
      <c r="F7" s="29" t="s">
        <v>10</v>
      </c>
      <c r="G7" s="27" t="s">
        <v>11</v>
      </c>
    </row>
    <row r="8" spans="1:7" x14ac:dyDescent="0.3">
      <c r="A8" s="32"/>
      <c r="B8" s="4" t="s">
        <v>42</v>
      </c>
      <c r="F8" s="29" t="s">
        <v>10</v>
      </c>
      <c r="G8" s="27" t="s">
        <v>42</v>
      </c>
    </row>
    <row r="9" spans="1:7" x14ac:dyDescent="0.3">
      <c r="A9" s="32"/>
      <c r="B9" s="4" t="s">
        <v>66</v>
      </c>
      <c r="F9" s="29" t="s">
        <v>10</v>
      </c>
      <c r="G9" s="27" t="s">
        <v>66</v>
      </c>
    </row>
    <row r="10" spans="1:7" x14ac:dyDescent="0.3">
      <c r="A10" s="32"/>
      <c r="B10" s="4" t="s">
        <v>90</v>
      </c>
      <c r="F10" s="29" t="s">
        <v>10</v>
      </c>
      <c r="G10" s="27" t="s">
        <v>90</v>
      </c>
    </row>
    <row r="11" spans="1:7" x14ac:dyDescent="0.3">
      <c r="A11" s="32"/>
      <c r="B11" s="4" t="s">
        <v>132</v>
      </c>
      <c r="F11" s="29" t="s">
        <v>10</v>
      </c>
      <c r="G11" s="27" t="s">
        <v>132</v>
      </c>
    </row>
    <row r="12" spans="1:7" x14ac:dyDescent="0.3">
      <c r="A12" s="32" t="s">
        <v>23</v>
      </c>
      <c r="B12" s="4" t="s">
        <v>24</v>
      </c>
      <c r="F12" s="29" t="s">
        <v>23</v>
      </c>
      <c r="G12" s="27" t="s">
        <v>24</v>
      </c>
    </row>
    <row r="13" spans="1:7" x14ac:dyDescent="0.3">
      <c r="A13" s="32"/>
      <c r="B13" s="4" t="s">
        <v>54</v>
      </c>
      <c r="F13" s="29" t="s">
        <v>23</v>
      </c>
      <c r="G13" s="27" t="s">
        <v>54</v>
      </c>
    </row>
    <row r="14" spans="1:7" x14ac:dyDescent="0.3">
      <c r="A14" s="32"/>
      <c r="B14" s="4" t="s">
        <v>84</v>
      </c>
      <c r="F14" s="29" t="s">
        <v>23</v>
      </c>
      <c r="G14" s="27" t="s">
        <v>84</v>
      </c>
    </row>
    <row r="15" spans="1:7" x14ac:dyDescent="0.3">
      <c r="A15" s="32"/>
      <c r="B15" s="4" t="s">
        <v>120</v>
      </c>
      <c r="F15" s="29" t="s">
        <v>23</v>
      </c>
      <c r="G15" s="27" t="s">
        <v>120</v>
      </c>
    </row>
    <row r="16" spans="1:7" x14ac:dyDescent="0.3">
      <c r="A16" s="32"/>
      <c r="B16" s="4" t="s">
        <v>156</v>
      </c>
      <c r="F16" s="29" t="s">
        <v>23</v>
      </c>
      <c r="G16" s="27" t="s">
        <v>156</v>
      </c>
    </row>
    <row r="17" spans="1:7" x14ac:dyDescent="0.3">
      <c r="A17" s="32" t="s">
        <v>30</v>
      </c>
      <c r="B17" s="4" t="s">
        <v>31</v>
      </c>
      <c r="F17" s="29" t="s">
        <v>30</v>
      </c>
      <c r="G17" s="27" t="s">
        <v>31</v>
      </c>
    </row>
    <row r="18" spans="1:7" x14ac:dyDescent="0.3">
      <c r="A18" s="32"/>
      <c r="B18" s="4" t="s">
        <v>60</v>
      </c>
      <c r="F18" s="29" t="s">
        <v>30</v>
      </c>
      <c r="G18" s="27" t="s">
        <v>60</v>
      </c>
    </row>
    <row r="19" spans="1:7" x14ac:dyDescent="0.3">
      <c r="A19" s="32"/>
      <c r="B19" s="4" t="s">
        <v>102</v>
      </c>
      <c r="F19" s="29" t="s">
        <v>30</v>
      </c>
      <c r="G19" s="27" t="s">
        <v>102</v>
      </c>
    </row>
    <row r="20" spans="1:7" x14ac:dyDescent="0.3">
      <c r="A20" s="32"/>
      <c r="B20" s="4" t="s">
        <v>150</v>
      </c>
      <c r="F20" s="29" t="s">
        <v>30</v>
      </c>
      <c r="G20" s="27" t="s">
        <v>150</v>
      </c>
    </row>
    <row r="21" spans="1:7" x14ac:dyDescent="0.3">
      <c r="A21" s="32"/>
      <c r="B21" s="4" t="s">
        <v>126</v>
      </c>
      <c r="F21" s="29" t="s">
        <v>30</v>
      </c>
      <c r="G21" s="27" t="s">
        <v>126</v>
      </c>
    </row>
    <row r="22" spans="1:7" x14ac:dyDescent="0.3">
      <c r="A22" s="32" t="s">
        <v>16</v>
      </c>
      <c r="B22" s="4" t="s">
        <v>17</v>
      </c>
      <c r="F22" s="29" t="s">
        <v>16</v>
      </c>
      <c r="G22" s="27" t="s">
        <v>934</v>
      </c>
    </row>
    <row r="23" spans="1:7" x14ac:dyDescent="0.3">
      <c r="A23" s="32"/>
      <c r="B23" s="4" t="s">
        <v>48</v>
      </c>
      <c r="F23" s="29" t="s">
        <v>16</v>
      </c>
      <c r="G23" s="27" t="s">
        <v>48</v>
      </c>
    </row>
    <row r="24" spans="1:7" x14ac:dyDescent="0.3">
      <c r="A24" s="32"/>
      <c r="B24" s="4" t="s">
        <v>78</v>
      </c>
      <c r="F24" s="29" t="s">
        <v>16</v>
      </c>
      <c r="G24" s="27" t="s">
        <v>78</v>
      </c>
    </row>
    <row r="25" spans="1:7" x14ac:dyDescent="0.3">
      <c r="A25" s="32"/>
      <c r="B25" s="4" t="s">
        <v>108</v>
      </c>
      <c r="F25" s="29" t="s">
        <v>16</v>
      </c>
      <c r="G25" s="27" t="s">
        <v>108</v>
      </c>
    </row>
    <row r="26" spans="1:7" x14ac:dyDescent="0.3">
      <c r="A26" s="32"/>
      <c r="B26" s="4" t="s">
        <v>144</v>
      </c>
      <c r="F26" s="29" t="s">
        <v>16</v>
      </c>
      <c r="G26" s="27" t="s">
        <v>144</v>
      </c>
    </row>
  </sheetData>
  <mergeCells count="5">
    <mergeCell ref="A2:A6"/>
    <mergeCell ref="A7:A11"/>
    <mergeCell ref="A12:A16"/>
    <mergeCell ref="A17:A21"/>
    <mergeCell ref="A22:A26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2</xdr:col>
                <xdr:colOff>66675</xdr:colOff>
                <xdr:row>0</xdr:row>
                <xdr:rowOff>47625</xdr:rowOff>
              </from>
              <to>
                <xdr:col>4</xdr:col>
                <xdr:colOff>19050</xdr:colOff>
                <xdr:row>2</xdr:row>
                <xdr:rowOff>28575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3:F22"/>
  <sheetViews>
    <sheetView zoomScale="85" zoomScaleNormal="85" workbookViewId="0">
      <selection activeCell="G40" sqref="G40"/>
    </sheetView>
  </sheetViews>
  <sheetFormatPr defaultRowHeight="16.5" x14ac:dyDescent="0.3"/>
  <cols>
    <col min="1" max="1" width="9" style="1"/>
    <col min="2" max="2" width="16" style="1" customWidth="1"/>
    <col min="3" max="3" width="11.125" style="1" customWidth="1"/>
    <col min="4" max="4" width="12.5" style="1" bestFit="1" customWidth="1"/>
    <col min="5" max="5" width="11.875" style="1" customWidth="1"/>
    <col min="6" max="6" width="11.125" style="1" customWidth="1"/>
    <col min="7" max="17" width="12.5" style="1" bestFit="1" customWidth="1"/>
    <col min="18" max="18" width="7.375" style="1" bestFit="1" customWidth="1"/>
    <col min="19" max="19" width="6.25" style="1" bestFit="1" customWidth="1"/>
    <col min="20" max="20" width="5.125" style="1" bestFit="1" customWidth="1"/>
    <col min="21" max="21" width="4.625" style="1" bestFit="1" customWidth="1"/>
    <col min="22" max="22" width="5.75" style="1" bestFit="1" customWidth="1"/>
    <col min="23" max="24" width="4.625" style="1" bestFit="1" customWidth="1"/>
    <col min="25" max="26" width="6.5" style="1" bestFit="1" customWidth="1"/>
    <col min="27" max="28" width="5.375" style="1" bestFit="1" customWidth="1"/>
    <col min="29" max="30" width="5.875" style="1" bestFit="1" customWidth="1"/>
    <col min="31" max="31" width="4.75" style="1" bestFit="1" customWidth="1"/>
    <col min="32" max="33" width="5.75" style="1" bestFit="1" customWidth="1"/>
    <col min="34" max="35" width="4.625" style="1" bestFit="1" customWidth="1"/>
    <col min="36" max="37" width="5.875" style="1" bestFit="1" customWidth="1"/>
    <col min="38" max="39" width="4.75" style="1" bestFit="1" customWidth="1"/>
    <col min="40" max="40" width="5.5" style="1" bestFit="1" customWidth="1"/>
    <col min="41" max="42" width="6.625" style="1" bestFit="1" customWidth="1"/>
    <col min="43" max="44" width="5.5" style="1" bestFit="1" customWidth="1"/>
    <col min="45" max="45" width="4.75" style="1" bestFit="1" customWidth="1"/>
    <col min="46" max="46" width="5.875" style="1" bestFit="1" customWidth="1"/>
    <col min="47" max="47" width="4.75" style="1" bestFit="1" customWidth="1"/>
    <col min="48" max="48" width="7.375" style="1" bestFit="1" customWidth="1"/>
    <col min="49" max="16384" width="9" style="1"/>
  </cols>
  <sheetData>
    <row r="3" spans="2:6" x14ac:dyDescent="0.3">
      <c r="B3" s="16" t="s">
        <v>920</v>
      </c>
      <c r="C3" t="s">
        <v>925</v>
      </c>
      <c r="E3" s="1" t="s">
        <v>920</v>
      </c>
      <c r="F3" s="1" t="s">
        <v>925</v>
      </c>
    </row>
    <row r="4" spans="2:6" x14ac:dyDescent="0.3">
      <c r="B4" s="17" t="s">
        <v>921</v>
      </c>
      <c r="C4" s="15">
        <v>25</v>
      </c>
      <c r="E4" s="19" t="s">
        <v>921</v>
      </c>
      <c r="F4" s="20">
        <v>25</v>
      </c>
    </row>
    <row r="5" spans="2:6" x14ac:dyDescent="0.3">
      <c r="B5" s="18">
        <v>44788</v>
      </c>
      <c r="C5" s="15">
        <v>5</v>
      </c>
      <c r="E5" s="19" t="s">
        <v>922</v>
      </c>
      <c r="F5" s="20">
        <v>14</v>
      </c>
    </row>
    <row r="6" spans="2:6" x14ac:dyDescent="0.3">
      <c r="B6" s="18">
        <v>44789</v>
      </c>
      <c r="C6" s="15">
        <v>5</v>
      </c>
      <c r="E6" s="19" t="s">
        <v>923</v>
      </c>
      <c r="F6" s="20">
        <v>6</v>
      </c>
    </row>
    <row r="7" spans="2:6" x14ac:dyDescent="0.3">
      <c r="B7" s="18">
        <v>44790</v>
      </c>
      <c r="C7" s="15">
        <v>6</v>
      </c>
      <c r="E7" s="19" t="s">
        <v>924</v>
      </c>
      <c r="F7" s="20">
        <v>45</v>
      </c>
    </row>
    <row r="8" spans="2:6" x14ac:dyDescent="0.3">
      <c r="B8" s="18">
        <v>44791</v>
      </c>
      <c r="C8" s="15">
        <v>5</v>
      </c>
    </row>
    <row r="9" spans="2:6" x14ac:dyDescent="0.3">
      <c r="B9" s="18">
        <v>44792</v>
      </c>
      <c r="C9" s="15">
        <v>3</v>
      </c>
    </row>
    <row r="10" spans="2:6" x14ac:dyDescent="0.3">
      <c r="B10" s="18">
        <v>44793</v>
      </c>
      <c r="C10" s="15">
        <v>1</v>
      </c>
    </row>
    <row r="11" spans="2:6" x14ac:dyDescent="0.3">
      <c r="B11" s="17" t="s">
        <v>922</v>
      </c>
      <c r="C11" s="15">
        <v>14</v>
      </c>
    </row>
    <row r="12" spans="2:6" x14ac:dyDescent="0.3">
      <c r="B12" s="18">
        <v>44794</v>
      </c>
      <c r="C12" s="15">
        <v>4</v>
      </c>
    </row>
    <row r="13" spans="2:6" x14ac:dyDescent="0.3">
      <c r="B13" s="18">
        <v>44795</v>
      </c>
      <c r="C13" s="15">
        <v>1</v>
      </c>
    </row>
    <row r="14" spans="2:6" x14ac:dyDescent="0.3">
      <c r="B14" s="18">
        <v>44796</v>
      </c>
      <c r="C14" s="15">
        <v>1</v>
      </c>
    </row>
    <row r="15" spans="2:6" x14ac:dyDescent="0.3">
      <c r="B15" s="18">
        <v>44797</v>
      </c>
      <c r="C15" s="15">
        <v>3</v>
      </c>
    </row>
    <row r="16" spans="2:6" x14ac:dyDescent="0.3">
      <c r="B16" s="18">
        <v>44798</v>
      </c>
      <c r="C16" s="15">
        <v>2</v>
      </c>
    </row>
    <row r="17" spans="2:3" x14ac:dyDescent="0.3">
      <c r="B17" s="18">
        <v>44799</v>
      </c>
      <c r="C17" s="15">
        <v>2</v>
      </c>
    </row>
    <row r="18" spans="2:3" x14ac:dyDescent="0.3">
      <c r="B18" s="18">
        <v>44800</v>
      </c>
      <c r="C18" s="15">
        <v>1</v>
      </c>
    </row>
    <row r="19" spans="2:3" x14ac:dyDescent="0.3">
      <c r="B19" s="17" t="s">
        <v>923</v>
      </c>
      <c r="C19" s="15">
        <v>6</v>
      </c>
    </row>
    <row r="20" spans="2:3" x14ac:dyDescent="0.3">
      <c r="B20" s="18">
        <v>44801</v>
      </c>
      <c r="C20" s="15">
        <v>2</v>
      </c>
    </row>
    <row r="21" spans="2:3" x14ac:dyDescent="0.3">
      <c r="B21" s="18">
        <v>44802</v>
      </c>
      <c r="C21" s="15">
        <v>4</v>
      </c>
    </row>
    <row r="22" spans="2:3" x14ac:dyDescent="0.3">
      <c r="B22" s="17" t="s">
        <v>924</v>
      </c>
      <c r="C22" s="15">
        <v>45</v>
      </c>
    </row>
  </sheetData>
  <phoneticPr fontId="1" type="noConversion"/>
  <pageMargins left="0.7" right="0.7" top="0.75" bottom="0.75" header="0.3" footer="0.3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241"/>
  <sheetViews>
    <sheetView zoomScaleNormal="100" workbookViewId="0">
      <selection activeCell="M19" sqref="M19"/>
    </sheetView>
  </sheetViews>
  <sheetFormatPr defaultRowHeight="16.5" x14ac:dyDescent="0.3"/>
  <cols>
    <col min="1" max="1" width="6" style="1" bestFit="1" customWidth="1"/>
    <col min="2" max="2" width="24.125" style="1" bestFit="1" customWidth="1"/>
    <col min="3" max="3" width="7.125" style="1" bestFit="1" customWidth="1"/>
    <col min="4" max="4" width="4.875" style="1" customWidth="1"/>
    <col min="5" max="5" width="5" style="1" customWidth="1"/>
    <col min="6" max="6" width="4.625" style="1" customWidth="1"/>
    <col min="7" max="7" width="5.75" style="1" customWidth="1"/>
    <col min="8" max="8" width="5" style="1" customWidth="1"/>
    <col min="9" max="9" width="4.625" style="1" customWidth="1"/>
    <col min="10" max="10" width="5.875" style="1" customWidth="1"/>
    <col min="11" max="12" width="5.75" style="1" customWidth="1"/>
    <col min="13" max="14" width="5.875" style="1" customWidth="1"/>
    <col min="15" max="16" width="4.75" style="1" customWidth="1"/>
    <col min="17" max="17" width="7.375" style="1" customWidth="1"/>
    <col min="18" max="18" width="11.875" style="1" customWidth="1"/>
    <col min="19" max="19" width="18.125" style="1" customWidth="1"/>
    <col min="20" max="20" width="14" style="1" customWidth="1"/>
    <col min="21" max="21" width="11.875" style="1" customWidth="1"/>
    <col min="22" max="22" width="18.125" style="1" customWidth="1"/>
    <col min="23" max="23" width="10" style="1" customWidth="1"/>
    <col min="24" max="24" width="24.375" style="1" bestFit="1" customWidth="1"/>
    <col min="25" max="25" width="16.125" style="1" customWidth="1"/>
    <col min="26" max="26" width="10" style="1" customWidth="1"/>
    <col min="27" max="29" width="11.875" style="1" customWidth="1"/>
    <col min="30" max="30" width="10" style="1" customWidth="1"/>
    <col min="31" max="31" width="11.875" style="1" customWidth="1"/>
    <col min="32" max="32" width="14" style="1" customWidth="1"/>
    <col min="33" max="33" width="10" style="1" customWidth="1"/>
    <col min="34" max="36" width="16.125" style="1" customWidth="1"/>
    <col min="37" max="37" width="10" style="1" customWidth="1"/>
    <col min="38" max="38" width="18.125" style="1" customWidth="1"/>
    <col min="39" max="40" width="14" style="1" customWidth="1"/>
    <col min="41" max="41" width="10" style="1" customWidth="1"/>
    <col min="42" max="43" width="18.875" style="1" customWidth="1"/>
    <col min="44" max="44" width="14" style="1" customWidth="1"/>
    <col min="45" max="45" width="16.125" style="1" customWidth="1"/>
    <col min="46" max="46" width="10" style="1" customWidth="1"/>
    <col min="47" max="47" width="16.125" style="1" customWidth="1"/>
    <col min="48" max="48" width="11.875" style="1" customWidth="1"/>
    <col min="49" max="49" width="16.125" style="1" customWidth="1"/>
    <col min="50" max="53" width="14" style="1" customWidth="1"/>
    <col min="54" max="55" width="11.875" style="1" customWidth="1"/>
    <col min="56" max="58" width="10" style="1" customWidth="1"/>
    <col min="59" max="59" width="11.875" style="1" customWidth="1"/>
    <col min="60" max="60" width="14" style="1" customWidth="1"/>
    <col min="61" max="61" width="11.875" style="1" customWidth="1"/>
    <col min="62" max="63" width="14" style="1" customWidth="1"/>
    <col min="64" max="64" width="16.125" style="1" customWidth="1"/>
    <col min="65" max="65" width="14" style="1" customWidth="1"/>
    <col min="66" max="66" width="11.875" style="1" customWidth="1"/>
    <col min="67" max="67" width="18.125" style="1" customWidth="1"/>
    <col min="68" max="68" width="10" style="1" customWidth="1"/>
    <col min="69" max="69" width="20.875" style="1" customWidth="1"/>
    <col min="70" max="70" width="11.875" style="1" customWidth="1"/>
    <col min="71" max="72" width="16.125" style="1" customWidth="1"/>
    <col min="73" max="74" width="14" style="1" customWidth="1"/>
    <col min="75" max="76" width="11.875" style="1" customWidth="1"/>
    <col min="77" max="77" width="14" style="1" customWidth="1"/>
    <col min="78" max="78" width="16.125" style="1" customWidth="1"/>
    <col min="79" max="79" width="14" style="1" customWidth="1"/>
    <col min="80" max="80" width="22.25" style="1" customWidth="1"/>
    <col min="81" max="81" width="11.875" style="1" customWidth="1"/>
    <col min="82" max="82" width="10" style="1" customWidth="1"/>
    <col min="83" max="84" width="16.125" style="1" customWidth="1"/>
    <col min="85" max="85" width="10" style="1" customWidth="1"/>
    <col min="86" max="86" width="11.875" style="1" customWidth="1"/>
    <col min="87" max="88" width="18.125" style="1" customWidth="1"/>
    <col min="89" max="89" width="11.875" style="1" customWidth="1"/>
    <col min="90" max="90" width="10" style="1" customWidth="1"/>
    <col min="91" max="92" width="14" style="1" customWidth="1"/>
    <col min="93" max="93" width="16.125" style="1" customWidth="1"/>
    <col min="94" max="94" width="14" style="1" customWidth="1"/>
    <col min="95" max="95" width="10" style="1" customWidth="1"/>
    <col min="96" max="96" width="16.125" style="1" customWidth="1"/>
    <col min="97" max="97" width="14" style="1" customWidth="1"/>
    <col min="98" max="98" width="10" style="1" customWidth="1"/>
    <col min="99" max="99" width="16.125" style="1" customWidth="1"/>
    <col min="100" max="100" width="10" style="1" customWidth="1"/>
    <col min="101" max="101" width="11.875" style="1" customWidth="1"/>
    <col min="102" max="102" width="16.75" style="1" customWidth="1"/>
    <col min="103" max="103" width="16.125" style="1" customWidth="1"/>
    <col min="104" max="104" width="10" style="1" customWidth="1"/>
    <col min="105" max="105" width="18.125" style="1" customWidth="1"/>
    <col min="106" max="106" width="10" style="1" customWidth="1"/>
    <col min="107" max="107" width="11.875" style="1" customWidth="1"/>
    <col min="108" max="108" width="14" style="1" customWidth="1"/>
    <col min="109" max="109" width="10" style="1" customWidth="1"/>
    <col min="110" max="111" width="11.875" style="1" customWidth="1"/>
    <col min="112" max="112" width="16.75" style="1" customWidth="1"/>
    <col min="113" max="113" width="11.875" style="1" customWidth="1"/>
    <col min="114" max="114" width="10" style="1" customWidth="1"/>
    <col min="115" max="115" width="11.875" style="1" customWidth="1"/>
    <col min="116" max="116" width="20.25" style="1" customWidth="1"/>
    <col min="117" max="117" width="11.875" style="1" customWidth="1"/>
    <col min="118" max="118" width="10" style="1" customWidth="1"/>
    <col min="119" max="119" width="11.875" style="1" customWidth="1"/>
    <col min="120" max="120" width="14" style="1" customWidth="1"/>
    <col min="121" max="121" width="16.125" style="1" customWidth="1"/>
    <col min="122" max="123" width="14" style="1" customWidth="1"/>
    <col min="124" max="127" width="11.875" style="1" customWidth="1"/>
    <col min="128" max="128" width="10" style="1" customWidth="1"/>
    <col min="129" max="129" width="19.375" style="1" customWidth="1"/>
    <col min="130" max="130" width="10" style="1" customWidth="1"/>
    <col min="131" max="131" width="16.125" style="1" customWidth="1"/>
    <col min="132" max="132" width="17.75" style="1" customWidth="1"/>
    <col min="133" max="133" width="16.125" style="1" customWidth="1"/>
    <col min="134" max="134" width="10" style="1" customWidth="1"/>
    <col min="135" max="140" width="11.875" style="1" customWidth="1"/>
    <col min="141" max="141" width="10" style="1" customWidth="1"/>
    <col min="142" max="142" width="16.75" style="1" customWidth="1"/>
    <col min="143" max="143" width="14" style="1" customWidth="1"/>
    <col min="144" max="144" width="16.125" style="1" customWidth="1"/>
    <col min="145" max="145" width="16.75" style="1" customWidth="1"/>
    <col min="146" max="147" width="11.875" style="1" customWidth="1"/>
    <col min="148" max="148" width="14" style="1" customWidth="1"/>
    <col min="149" max="149" width="10" style="1" customWidth="1"/>
    <col min="150" max="150" width="22.25" style="1" customWidth="1"/>
    <col min="151" max="151" width="10" style="1" customWidth="1"/>
    <col min="152" max="152" width="18.125" style="1" customWidth="1"/>
    <col min="153" max="153" width="11.875" style="1" customWidth="1"/>
    <col min="154" max="154" width="16.75" style="1" customWidth="1"/>
    <col min="155" max="155" width="18.875" style="1" customWidth="1"/>
    <col min="156" max="156" width="18.125" style="1" customWidth="1"/>
    <col min="157" max="157" width="10" style="1" customWidth="1"/>
    <col min="158" max="158" width="18.875" style="1" customWidth="1"/>
    <col min="159" max="161" width="11.875" style="1" customWidth="1"/>
    <col min="162" max="162" width="14" style="1" customWidth="1"/>
    <col min="163" max="163" width="11.875" style="1" customWidth="1"/>
    <col min="164" max="164" width="14" style="1" customWidth="1"/>
    <col min="165" max="165" width="10" style="1" customWidth="1"/>
    <col min="166" max="166" width="11.875" style="1" customWidth="1"/>
    <col min="167" max="167" width="10" style="1" customWidth="1"/>
    <col min="168" max="169" width="11.875" style="1" customWidth="1"/>
    <col min="170" max="170" width="16.125" style="1" customWidth="1"/>
    <col min="171" max="171" width="22.25" style="1" customWidth="1"/>
    <col min="172" max="172" width="10" style="1" customWidth="1"/>
    <col min="173" max="173" width="11.875" style="1" customWidth="1"/>
    <col min="174" max="174" width="18.125" style="1" customWidth="1"/>
    <col min="175" max="175" width="11.875" style="1" customWidth="1"/>
    <col min="176" max="176" width="10" style="1" customWidth="1"/>
    <col min="177" max="177" width="14" style="1" customWidth="1"/>
    <col min="178" max="178" width="10" style="1" customWidth="1"/>
    <col min="179" max="179" width="11.875" style="1" customWidth="1"/>
    <col min="180" max="180" width="14" style="1" customWidth="1"/>
    <col min="181" max="182" width="16.125" style="1" customWidth="1"/>
    <col min="183" max="183" width="11.875" style="1" customWidth="1"/>
    <col min="184" max="184" width="10" style="1" customWidth="1"/>
    <col min="185" max="185" width="16.125" style="1" customWidth="1"/>
    <col min="186" max="187" width="11.875" style="1" customWidth="1"/>
    <col min="188" max="189" width="14" style="1" customWidth="1"/>
    <col min="190" max="190" width="11.875" style="1" customWidth="1"/>
    <col min="191" max="191" width="18.875" style="1" customWidth="1"/>
    <col min="192" max="192" width="11.875" style="1" customWidth="1"/>
    <col min="193" max="193" width="10" style="1" customWidth="1"/>
    <col min="194" max="197" width="11.875" style="1" customWidth="1"/>
    <col min="198" max="198" width="10" style="1" customWidth="1"/>
    <col min="199" max="199" width="24.375" style="1" bestFit="1" customWidth="1"/>
    <col min="200" max="204" width="11.875" style="1" customWidth="1"/>
    <col min="205" max="205" width="10" style="1" customWidth="1"/>
    <col min="206" max="206" width="11.875" style="1" customWidth="1"/>
    <col min="207" max="207" width="10" style="1" customWidth="1"/>
    <col min="208" max="208" width="11.875" style="1" customWidth="1"/>
    <col min="209" max="209" width="14" style="1" customWidth="1"/>
    <col min="210" max="210" width="8.125" style="1" customWidth="1"/>
    <col min="211" max="211" width="16.75" style="1" customWidth="1"/>
    <col min="212" max="212" width="14" style="1" customWidth="1"/>
    <col min="213" max="213" width="18.125" style="1" customWidth="1"/>
    <col min="214" max="214" width="10" style="1" customWidth="1"/>
    <col min="215" max="216" width="11.875" style="1" customWidth="1"/>
    <col min="217" max="217" width="10" style="1" customWidth="1"/>
    <col min="218" max="219" width="11.875" style="1" customWidth="1"/>
    <col min="220" max="220" width="10" style="1" customWidth="1"/>
    <col min="221" max="221" width="14" style="1" customWidth="1"/>
    <col min="222" max="222" width="10" style="1" customWidth="1"/>
    <col min="223" max="223" width="14" style="1" customWidth="1"/>
    <col min="224" max="225" width="10" style="1" customWidth="1"/>
    <col min="226" max="227" width="14" style="1" customWidth="1"/>
    <col min="228" max="228" width="16.125" style="1" customWidth="1"/>
    <col min="229" max="230" width="10" style="1" customWidth="1"/>
    <col min="231" max="231" width="11.875" style="1" customWidth="1"/>
    <col min="232" max="232" width="10" style="1" customWidth="1"/>
    <col min="233" max="233" width="11.875" style="1" customWidth="1"/>
    <col min="234" max="234" width="20.875" style="1" customWidth="1"/>
    <col min="235" max="235" width="11.875" style="1" customWidth="1"/>
    <col min="236" max="236" width="11.375" style="1" customWidth="1"/>
    <col min="237" max="237" width="7.5" style="1" customWidth="1"/>
    <col min="238" max="16384" width="9" style="1"/>
  </cols>
  <sheetData>
    <row r="1" spans="1:3" x14ac:dyDescent="0.3">
      <c r="A1" s="21" t="s">
        <v>0</v>
      </c>
      <c r="B1" s="21" t="s">
        <v>228</v>
      </c>
      <c r="C1" s="22" t="s">
        <v>926</v>
      </c>
    </row>
    <row r="2" spans="1:3" x14ac:dyDescent="0.3">
      <c r="A2" s="8" t="s">
        <v>193</v>
      </c>
      <c r="B2" s="8" t="s">
        <v>507</v>
      </c>
      <c r="C2">
        <v>4</v>
      </c>
    </row>
    <row r="3" spans="1:3" x14ac:dyDescent="0.3">
      <c r="A3" s="8" t="s">
        <v>206</v>
      </c>
      <c r="B3" s="8" t="s">
        <v>237</v>
      </c>
      <c r="C3">
        <v>3</v>
      </c>
    </row>
    <row r="4" spans="1:3" x14ac:dyDescent="0.3">
      <c r="A4" s="8" t="s">
        <v>222</v>
      </c>
      <c r="B4" s="8" t="s">
        <v>777</v>
      </c>
      <c r="C4">
        <v>3</v>
      </c>
    </row>
    <row r="5" spans="1:3" x14ac:dyDescent="0.3">
      <c r="A5" s="8" t="s">
        <v>219</v>
      </c>
      <c r="B5" s="8" t="s">
        <v>247</v>
      </c>
      <c r="C5">
        <v>2</v>
      </c>
    </row>
    <row r="6" spans="1:3" x14ac:dyDescent="0.3">
      <c r="A6" s="8" t="s">
        <v>191</v>
      </c>
      <c r="B6" s="8" t="s">
        <v>294</v>
      </c>
      <c r="C6">
        <v>2</v>
      </c>
    </row>
    <row r="7" spans="1:3" x14ac:dyDescent="0.3">
      <c r="A7"/>
      <c r="B7"/>
      <c r="C7"/>
    </row>
    <row r="8" spans="1:3" x14ac:dyDescent="0.3">
      <c r="A8"/>
      <c r="B8"/>
      <c r="C8"/>
    </row>
    <row r="9" spans="1:3" x14ac:dyDescent="0.3">
      <c r="A9"/>
      <c r="B9"/>
      <c r="C9"/>
    </row>
    <row r="10" spans="1:3" x14ac:dyDescent="0.3">
      <c r="A10"/>
      <c r="B10"/>
      <c r="C10"/>
    </row>
    <row r="11" spans="1:3" x14ac:dyDescent="0.3">
      <c r="A11"/>
      <c r="B11"/>
      <c r="C11"/>
    </row>
    <row r="12" spans="1:3" x14ac:dyDescent="0.3">
      <c r="A12"/>
      <c r="B12"/>
      <c r="C12"/>
    </row>
    <row r="13" spans="1:3" x14ac:dyDescent="0.3">
      <c r="A13"/>
      <c r="B13"/>
      <c r="C13"/>
    </row>
    <row r="14" spans="1:3" x14ac:dyDescent="0.3">
      <c r="A14"/>
      <c r="B14"/>
      <c r="C14"/>
    </row>
    <row r="15" spans="1:3" x14ac:dyDescent="0.3">
      <c r="A15"/>
      <c r="B15"/>
      <c r="C15"/>
    </row>
    <row r="16" spans="1:3" x14ac:dyDescent="0.3">
      <c r="A16"/>
      <c r="B16"/>
      <c r="C16"/>
    </row>
    <row r="17" spans="1:3" x14ac:dyDescent="0.3">
      <c r="A17"/>
      <c r="B17"/>
      <c r="C17"/>
    </row>
    <row r="18" spans="1:3" x14ac:dyDescent="0.3">
      <c r="A18"/>
      <c r="B18"/>
      <c r="C18"/>
    </row>
    <row r="19" spans="1:3" x14ac:dyDescent="0.3">
      <c r="A19"/>
      <c r="B19"/>
      <c r="C19"/>
    </row>
    <row r="20" spans="1:3" x14ac:dyDescent="0.3">
      <c r="A20"/>
      <c r="B20"/>
      <c r="C20"/>
    </row>
    <row r="21" spans="1:3" x14ac:dyDescent="0.3">
      <c r="A21"/>
      <c r="B21"/>
      <c r="C21"/>
    </row>
    <row r="22" spans="1:3" x14ac:dyDescent="0.3">
      <c r="A22"/>
      <c r="B22"/>
      <c r="C22"/>
    </row>
    <row r="23" spans="1:3" x14ac:dyDescent="0.3">
      <c r="A23"/>
      <c r="B23"/>
      <c r="C23"/>
    </row>
    <row r="24" spans="1:3" x14ac:dyDescent="0.3">
      <c r="A24"/>
      <c r="B24"/>
      <c r="C24"/>
    </row>
    <row r="25" spans="1:3" x14ac:dyDescent="0.3">
      <c r="A25"/>
      <c r="B25"/>
      <c r="C25"/>
    </row>
    <row r="26" spans="1:3" x14ac:dyDescent="0.3">
      <c r="A26"/>
      <c r="B26"/>
      <c r="C26"/>
    </row>
    <row r="27" spans="1:3" x14ac:dyDescent="0.3">
      <c r="A27"/>
      <c r="B27"/>
      <c r="C27"/>
    </row>
    <row r="28" spans="1:3" x14ac:dyDescent="0.3">
      <c r="A28"/>
      <c r="B28"/>
      <c r="C28"/>
    </row>
    <row r="29" spans="1:3" x14ac:dyDescent="0.3">
      <c r="A29"/>
      <c r="B29"/>
      <c r="C29"/>
    </row>
    <row r="30" spans="1:3" x14ac:dyDescent="0.3">
      <c r="A30"/>
      <c r="B30"/>
      <c r="C30"/>
    </row>
    <row r="31" spans="1:3" x14ac:dyDescent="0.3">
      <c r="A31"/>
      <c r="B31"/>
      <c r="C31"/>
    </row>
    <row r="32" spans="1:3" x14ac:dyDescent="0.3">
      <c r="A32"/>
      <c r="B32"/>
      <c r="C32"/>
    </row>
    <row r="33" spans="1:3" x14ac:dyDescent="0.3">
      <c r="A33"/>
      <c r="B33"/>
      <c r="C33"/>
    </row>
    <row r="34" spans="1:3" x14ac:dyDescent="0.3">
      <c r="A34"/>
      <c r="B34"/>
      <c r="C34"/>
    </row>
    <row r="35" spans="1:3" x14ac:dyDescent="0.3">
      <c r="A35"/>
      <c r="B35"/>
      <c r="C35"/>
    </row>
    <row r="36" spans="1:3" x14ac:dyDescent="0.3">
      <c r="A36"/>
      <c r="B36"/>
      <c r="C36"/>
    </row>
    <row r="37" spans="1:3" x14ac:dyDescent="0.3">
      <c r="A37"/>
      <c r="B37"/>
      <c r="C37"/>
    </row>
    <row r="38" spans="1:3" x14ac:dyDescent="0.3">
      <c r="A38"/>
      <c r="B38"/>
      <c r="C38"/>
    </row>
    <row r="39" spans="1:3" x14ac:dyDescent="0.3">
      <c r="A39"/>
      <c r="B39"/>
      <c r="C39"/>
    </row>
    <row r="40" spans="1:3" x14ac:dyDescent="0.3">
      <c r="A40"/>
      <c r="B40"/>
      <c r="C40"/>
    </row>
    <row r="41" spans="1:3" x14ac:dyDescent="0.3">
      <c r="A41"/>
      <c r="B41"/>
      <c r="C41"/>
    </row>
    <row r="42" spans="1:3" x14ac:dyDescent="0.3">
      <c r="A42"/>
      <c r="B42"/>
      <c r="C42"/>
    </row>
    <row r="43" spans="1:3" x14ac:dyDescent="0.3">
      <c r="A43"/>
      <c r="B43"/>
      <c r="C43"/>
    </row>
    <row r="44" spans="1:3" x14ac:dyDescent="0.3">
      <c r="A44"/>
      <c r="B44"/>
      <c r="C44"/>
    </row>
    <row r="45" spans="1:3" x14ac:dyDescent="0.3">
      <c r="A45"/>
      <c r="B45"/>
      <c r="C45"/>
    </row>
    <row r="46" spans="1:3" x14ac:dyDescent="0.3">
      <c r="A46"/>
      <c r="B46"/>
      <c r="C46"/>
    </row>
    <row r="47" spans="1:3" x14ac:dyDescent="0.3">
      <c r="A47"/>
      <c r="B47"/>
      <c r="C47"/>
    </row>
    <row r="48" spans="1:3" x14ac:dyDescent="0.3">
      <c r="A48"/>
      <c r="B48"/>
      <c r="C48"/>
    </row>
    <row r="49" spans="1:3" x14ac:dyDescent="0.3">
      <c r="A49"/>
      <c r="B49"/>
      <c r="C49"/>
    </row>
    <row r="50" spans="1:3" x14ac:dyDescent="0.3">
      <c r="A50"/>
      <c r="B50"/>
      <c r="C50"/>
    </row>
    <row r="51" spans="1:3" x14ac:dyDescent="0.3">
      <c r="A51"/>
      <c r="B51"/>
      <c r="C51"/>
    </row>
    <row r="52" spans="1:3" x14ac:dyDescent="0.3">
      <c r="A52"/>
      <c r="B52"/>
      <c r="C52"/>
    </row>
    <row r="53" spans="1:3" x14ac:dyDescent="0.3">
      <c r="A53"/>
      <c r="B53"/>
      <c r="C53"/>
    </row>
    <row r="54" spans="1:3" x14ac:dyDescent="0.3">
      <c r="A54"/>
      <c r="B54"/>
      <c r="C54"/>
    </row>
    <row r="55" spans="1:3" x14ac:dyDescent="0.3">
      <c r="A55"/>
      <c r="B55"/>
      <c r="C55"/>
    </row>
    <row r="56" spans="1:3" x14ac:dyDescent="0.3">
      <c r="A56"/>
      <c r="B56"/>
      <c r="C56"/>
    </row>
    <row r="57" spans="1:3" x14ac:dyDescent="0.3">
      <c r="A57"/>
      <c r="B57"/>
      <c r="C57"/>
    </row>
    <row r="58" spans="1:3" x14ac:dyDescent="0.3">
      <c r="A58"/>
      <c r="B58"/>
      <c r="C58"/>
    </row>
    <row r="59" spans="1:3" x14ac:dyDescent="0.3">
      <c r="A59"/>
      <c r="B59"/>
      <c r="C59"/>
    </row>
    <row r="60" spans="1:3" x14ac:dyDescent="0.3">
      <c r="A60"/>
      <c r="B60"/>
      <c r="C60"/>
    </row>
    <row r="61" spans="1:3" x14ac:dyDescent="0.3">
      <c r="A61"/>
      <c r="B61"/>
      <c r="C61"/>
    </row>
    <row r="62" spans="1:3" x14ac:dyDescent="0.3">
      <c r="A62"/>
      <c r="B62"/>
      <c r="C62"/>
    </row>
    <row r="63" spans="1:3" x14ac:dyDescent="0.3">
      <c r="A63"/>
      <c r="B63"/>
      <c r="C63"/>
    </row>
    <row r="64" spans="1:3" x14ac:dyDescent="0.3">
      <c r="A64"/>
      <c r="B64"/>
      <c r="C64"/>
    </row>
    <row r="65" spans="1:3" x14ac:dyDescent="0.3">
      <c r="A65"/>
      <c r="B65"/>
      <c r="C65"/>
    </row>
    <row r="66" spans="1:3" x14ac:dyDescent="0.3">
      <c r="A66"/>
      <c r="B66"/>
      <c r="C66"/>
    </row>
    <row r="67" spans="1:3" x14ac:dyDescent="0.3">
      <c r="A67"/>
      <c r="B67"/>
      <c r="C67"/>
    </row>
    <row r="68" spans="1:3" x14ac:dyDescent="0.3">
      <c r="A68"/>
      <c r="B68"/>
      <c r="C68"/>
    </row>
    <row r="69" spans="1:3" x14ac:dyDescent="0.3">
      <c r="A69"/>
      <c r="B69"/>
      <c r="C69"/>
    </row>
    <row r="70" spans="1:3" x14ac:dyDescent="0.3">
      <c r="A70"/>
      <c r="B70"/>
      <c r="C70"/>
    </row>
    <row r="71" spans="1:3" x14ac:dyDescent="0.3">
      <c r="A71"/>
      <c r="B71"/>
      <c r="C71"/>
    </row>
    <row r="72" spans="1:3" x14ac:dyDescent="0.3">
      <c r="A72"/>
      <c r="B72"/>
      <c r="C72"/>
    </row>
    <row r="73" spans="1:3" x14ac:dyDescent="0.3">
      <c r="A73"/>
      <c r="B73"/>
      <c r="C73"/>
    </row>
    <row r="74" spans="1:3" x14ac:dyDescent="0.3">
      <c r="A74"/>
      <c r="B74"/>
      <c r="C74"/>
    </row>
    <row r="75" spans="1:3" x14ac:dyDescent="0.3">
      <c r="A75"/>
      <c r="B75"/>
      <c r="C75"/>
    </row>
    <row r="76" spans="1:3" x14ac:dyDescent="0.3">
      <c r="A76"/>
      <c r="B76"/>
      <c r="C76"/>
    </row>
    <row r="77" spans="1:3" x14ac:dyDescent="0.3">
      <c r="A77"/>
      <c r="B77"/>
      <c r="C77"/>
    </row>
    <row r="78" spans="1:3" x14ac:dyDescent="0.3">
      <c r="A78"/>
      <c r="B78"/>
      <c r="C78"/>
    </row>
    <row r="79" spans="1:3" x14ac:dyDescent="0.3">
      <c r="A79"/>
      <c r="B79"/>
      <c r="C79"/>
    </row>
    <row r="80" spans="1:3" x14ac:dyDescent="0.3">
      <c r="A80"/>
      <c r="B80"/>
      <c r="C80"/>
    </row>
    <row r="81" spans="1:3" x14ac:dyDescent="0.3">
      <c r="A81"/>
      <c r="B81"/>
      <c r="C81"/>
    </row>
    <row r="82" spans="1:3" x14ac:dyDescent="0.3">
      <c r="A82"/>
      <c r="B82"/>
      <c r="C82"/>
    </row>
    <row r="83" spans="1:3" x14ac:dyDescent="0.3">
      <c r="A83"/>
      <c r="B83"/>
      <c r="C83"/>
    </row>
    <row r="84" spans="1:3" x14ac:dyDescent="0.3">
      <c r="A84"/>
      <c r="B84"/>
      <c r="C84"/>
    </row>
    <row r="85" spans="1:3" x14ac:dyDescent="0.3">
      <c r="A85"/>
      <c r="B85"/>
      <c r="C85"/>
    </row>
    <row r="86" spans="1:3" x14ac:dyDescent="0.3">
      <c r="A86"/>
      <c r="B86"/>
      <c r="C86"/>
    </row>
    <row r="87" spans="1:3" x14ac:dyDescent="0.3">
      <c r="A87"/>
      <c r="B87"/>
      <c r="C87"/>
    </row>
    <row r="88" spans="1:3" x14ac:dyDescent="0.3">
      <c r="A88"/>
      <c r="B88"/>
      <c r="C88"/>
    </row>
    <row r="89" spans="1:3" x14ac:dyDescent="0.3">
      <c r="A89"/>
      <c r="B89"/>
      <c r="C89"/>
    </row>
    <row r="90" spans="1:3" x14ac:dyDescent="0.3">
      <c r="A90"/>
      <c r="B90"/>
      <c r="C90"/>
    </row>
    <row r="91" spans="1:3" x14ac:dyDescent="0.3">
      <c r="A91"/>
      <c r="B91"/>
      <c r="C91"/>
    </row>
    <row r="92" spans="1:3" x14ac:dyDescent="0.3">
      <c r="A92"/>
      <c r="B92"/>
      <c r="C92"/>
    </row>
    <row r="93" spans="1:3" x14ac:dyDescent="0.3">
      <c r="A93"/>
      <c r="B93"/>
      <c r="C93"/>
    </row>
    <row r="94" spans="1:3" x14ac:dyDescent="0.3">
      <c r="A94"/>
      <c r="B94"/>
      <c r="C94"/>
    </row>
    <row r="95" spans="1:3" x14ac:dyDescent="0.3">
      <c r="A95"/>
      <c r="B95"/>
      <c r="C95"/>
    </row>
    <row r="96" spans="1:3" x14ac:dyDescent="0.3">
      <c r="A96"/>
      <c r="B96"/>
      <c r="C96"/>
    </row>
    <row r="97" spans="1:3" x14ac:dyDescent="0.3">
      <c r="A97"/>
      <c r="B97"/>
      <c r="C97"/>
    </row>
    <row r="98" spans="1:3" x14ac:dyDescent="0.3">
      <c r="A98"/>
      <c r="B98"/>
      <c r="C98"/>
    </row>
    <row r="99" spans="1:3" x14ac:dyDescent="0.3">
      <c r="A99"/>
      <c r="B99"/>
      <c r="C99"/>
    </row>
    <row r="100" spans="1:3" x14ac:dyDescent="0.3">
      <c r="A100"/>
      <c r="B100"/>
      <c r="C100"/>
    </row>
    <row r="101" spans="1:3" x14ac:dyDescent="0.3">
      <c r="A101"/>
      <c r="B101"/>
      <c r="C101"/>
    </row>
    <row r="102" spans="1:3" x14ac:dyDescent="0.3">
      <c r="A102"/>
      <c r="B102"/>
      <c r="C102"/>
    </row>
    <row r="103" spans="1:3" x14ac:dyDescent="0.3">
      <c r="A103"/>
      <c r="B103"/>
      <c r="C103"/>
    </row>
    <row r="104" spans="1:3" x14ac:dyDescent="0.3">
      <c r="A104"/>
      <c r="B104"/>
      <c r="C104"/>
    </row>
    <row r="105" spans="1:3" x14ac:dyDescent="0.3">
      <c r="A105"/>
      <c r="B105"/>
      <c r="C105"/>
    </row>
    <row r="106" spans="1:3" x14ac:dyDescent="0.3">
      <c r="A106"/>
      <c r="B106"/>
      <c r="C106"/>
    </row>
    <row r="107" spans="1:3" x14ac:dyDescent="0.3">
      <c r="A107"/>
      <c r="B107"/>
      <c r="C107"/>
    </row>
    <row r="108" spans="1:3" x14ac:dyDescent="0.3">
      <c r="A108"/>
      <c r="B108"/>
      <c r="C108"/>
    </row>
    <row r="109" spans="1:3" x14ac:dyDescent="0.3">
      <c r="A109"/>
      <c r="B109"/>
      <c r="C109"/>
    </row>
    <row r="110" spans="1:3" x14ac:dyDescent="0.3">
      <c r="A110"/>
      <c r="B110"/>
      <c r="C110"/>
    </row>
    <row r="111" spans="1:3" x14ac:dyDescent="0.3">
      <c r="A111"/>
      <c r="B111"/>
      <c r="C111"/>
    </row>
    <row r="112" spans="1:3" x14ac:dyDescent="0.3">
      <c r="A112"/>
      <c r="B112"/>
      <c r="C112"/>
    </row>
    <row r="113" spans="1:3" x14ac:dyDescent="0.3">
      <c r="A113"/>
      <c r="B113"/>
      <c r="C113"/>
    </row>
    <row r="114" spans="1:3" x14ac:dyDescent="0.3">
      <c r="A114"/>
      <c r="B114"/>
      <c r="C114"/>
    </row>
    <row r="115" spans="1:3" x14ac:dyDescent="0.3">
      <c r="A115"/>
      <c r="B115"/>
      <c r="C115"/>
    </row>
    <row r="116" spans="1:3" x14ac:dyDescent="0.3">
      <c r="A116"/>
      <c r="B116"/>
      <c r="C116"/>
    </row>
    <row r="117" spans="1:3" x14ac:dyDescent="0.3">
      <c r="A117"/>
      <c r="B117"/>
      <c r="C117"/>
    </row>
    <row r="118" spans="1:3" x14ac:dyDescent="0.3">
      <c r="A118"/>
      <c r="B118"/>
      <c r="C118"/>
    </row>
    <row r="119" spans="1:3" x14ac:dyDescent="0.3">
      <c r="A119"/>
      <c r="B119"/>
      <c r="C119"/>
    </row>
    <row r="120" spans="1:3" x14ac:dyDescent="0.3">
      <c r="A120"/>
      <c r="B120"/>
      <c r="C120"/>
    </row>
    <row r="121" spans="1:3" x14ac:dyDescent="0.3">
      <c r="A121"/>
      <c r="B121"/>
      <c r="C121"/>
    </row>
    <row r="122" spans="1:3" x14ac:dyDescent="0.3">
      <c r="A122"/>
      <c r="B122"/>
      <c r="C122"/>
    </row>
    <row r="123" spans="1:3" x14ac:dyDescent="0.3">
      <c r="A123"/>
      <c r="B123"/>
      <c r="C123"/>
    </row>
    <row r="124" spans="1:3" x14ac:dyDescent="0.3">
      <c r="A124"/>
      <c r="B124"/>
      <c r="C124"/>
    </row>
    <row r="125" spans="1:3" x14ac:dyDescent="0.3">
      <c r="A125"/>
      <c r="B125"/>
      <c r="C125"/>
    </row>
    <row r="126" spans="1:3" x14ac:dyDescent="0.3">
      <c r="A126"/>
      <c r="B126"/>
      <c r="C126"/>
    </row>
    <row r="127" spans="1:3" x14ac:dyDescent="0.3">
      <c r="A127"/>
      <c r="B127"/>
      <c r="C127"/>
    </row>
    <row r="128" spans="1:3" x14ac:dyDescent="0.3">
      <c r="A128"/>
      <c r="B128"/>
      <c r="C128"/>
    </row>
    <row r="129" spans="1:3" x14ac:dyDescent="0.3">
      <c r="A129"/>
      <c r="B129"/>
      <c r="C129"/>
    </row>
    <row r="130" spans="1:3" x14ac:dyDescent="0.3">
      <c r="A130"/>
      <c r="B130"/>
      <c r="C130"/>
    </row>
    <row r="131" spans="1:3" x14ac:dyDescent="0.3">
      <c r="A131"/>
      <c r="B131"/>
      <c r="C131"/>
    </row>
    <row r="132" spans="1:3" x14ac:dyDescent="0.3">
      <c r="A132"/>
      <c r="B132"/>
      <c r="C132"/>
    </row>
    <row r="133" spans="1:3" x14ac:dyDescent="0.3">
      <c r="A133"/>
      <c r="B133"/>
      <c r="C133"/>
    </row>
    <row r="134" spans="1:3" x14ac:dyDescent="0.3">
      <c r="A134"/>
      <c r="B134"/>
      <c r="C134"/>
    </row>
    <row r="135" spans="1:3" x14ac:dyDescent="0.3">
      <c r="A135"/>
      <c r="B135"/>
      <c r="C135"/>
    </row>
    <row r="136" spans="1:3" x14ac:dyDescent="0.3">
      <c r="A136"/>
      <c r="B136"/>
      <c r="C136"/>
    </row>
    <row r="137" spans="1:3" x14ac:dyDescent="0.3">
      <c r="A137"/>
      <c r="B137"/>
      <c r="C137"/>
    </row>
    <row r="138" spans="1:3" x14ac:dyDescent="0.3">
      <c r="A138"/>
      <c r="B138"/>
      <c r="C138"/>
    </row>
    <row r="139" spans="1:3" x14ac:dyDescent="0.3">
      <c r="A139"/>
      <c r="B139"/>
      <c r="C139"/>
    </row>
    <row r="140" spans="1:3" x14ac:dyDescent="0.3">
      <c r="A140"/>
      <c r="B140"/>
      <c r="C140"/>
    </row>
    <row r="141" spans="1:3" x14ac:dyDescent="0.3">
      <c r="A141"/>
      <c r="B141"/>
      <c r="C141"/>
    </row>
    <row r="142" spans="1:3" x14ac:dyDescent="0.3">
      <c r="A142"/>
      <c r="B142"/>
      <c r="C142"/>
    </row>
    <row r="143" spans="1:3" x14ac:dyDescent="0.3">
      <c r="A143"/>
      <c r="B143"/>
      <c r="C143"/>
    </row>
    <row r="144" spans="1:3" x14ac:dyDescent="0.3">
      <c r="A144"/>
      <c r="B144"/>
      <c r="C144"/>
    </row>
    <row r="145" spans="1:3" x14ac:dyDescent="0.3">
      <c r="A145"/>
      <c r="B145"/>
      <c r="C145"/>
    </row>
    <row r="146" spans="1:3" x14ac:dyDescent="0.3">
      <c r="A146"/>
      <c r="B146"/>
      <c r="C146"/>
    </row>
    <row r="147" spans="1:3" x14ac:dyDescent="0.3">
      <c r="A147"/>
      <c r="B147"/>
      <c r="C147"/>
    </row>
    <row r="148" spans="1:3" x14ac:dyDescent="0.3">
      <c r="A148"/>
      <c r="B148"/>
      <c r="C148"/>
    </row>
    <row r="149" spans="1:3" x14ac:dyDescent="0.3">
      <c r="A149"/>
      <c r="B149"/>
      <c r="C149"/>
    </row>
    <row r="150" spans="1:3" x14ac:dyDescent="0.3">
      <c r="A150"/>
      <c r="B150"/>
      <c r="C150"/>
    </row>
    <row r="151" spans="1:3" x14ac:dyDescent="0.3">
      <c r="A151"/>
      <c r="B151"/>
      <c r="C151"/>
    </row>
    <row r="152" spans="1:3" x14ac:dyDescent="0.3">
      <c r="A152"/>
      <c r="B152"/>
      <c r="C152"/>
    </row>
    <row r="153" spans="1:3" x14ac:dyDescent="0.3">
      <c r="A153"/>
      <c r="B153"/>
      <c r="C153"/>
    </row>
    <row r="154" spans="1:3" x14ac:dyDescent="0.3">
      <c r="A154"/>
      <c r="B154"/>
      <c r="C154"/>
    </row>
    <row r="155" spans="1:3" x14ac:dyDescent="0.3">
      <c r="A155"/>
      <c r="B155"/>
      <c r="C155"/>
    </row>
    <row r="156" spans="1:3" x14ac:dyDescent="0.3">
      <c r="A156"/>
      <c r="B156"/>
      <c r="C156"/>
    </row>
    <row r="157" spans="1:3" x14ac:dyDescent="0.3">
      <c r="A157"/>
      <c r="B157"/>
      <c r="C157"/>
    </row>
    <row r="158" spans="1:3" x14ac:dyDescent="0.3">
      <c r="A158"/>
      <c r="B158"/>
      <c r="C158"/>
    </row>
    <row r="159" spans="1:3" x14ac:dyDescent="0.3">
      <c r="A159"/>
      <c r="B159"/>
      <c r="C159"/>
    </row>
    <row r="160" spans="1:3" x14ac:dyDescent="0.3">
      <c r="A160"/>
      <c r="B160"/>
      <c r="C160"/>
    </row>
    <row r="161" spans="1:3" x14ac:dyDescent="0.3">
      <c r="A161"/>
      <c r="B161"/>
      <c r="C161"/>
    </row>
    <row r="162" spans="1:3" x14ac:dyDescent="0.3">
      <c r="A162"/>
      <c r="B162"/>
      <c r="C162"/>
    </row>
    <row r="163" spans="1:3" x14ac:dyDescent="0.3">
      <c r="A163"/>
      <c r="B163"/>
      <c r="C163"/>
    </row>
    <row r="164" spans="1:3" x14ac:dyDescent="0.3">
      <c r="A164"/>
      <c r="B164"/>
      <c r="C164"/>
    </row>
    <row r="165" spans="1:3" x14ac:dyDescent="0.3">
      <c r="A165"/>
      <c r="B165"/>
      <c r="C165"/>
    </row>
    <row r="166" spans="1:3" x14ac:dyDescent="0.3">
      <c r="A166"/>
      <c r="B166"/>
      <c r="C166"/>
    </row>
    <row r="167" spans="1:3" x14ac:dyDescent="0.3">
      <c r="A167"/>
      <c r="B167"/>
      <c r="C167"/>
    </row>
    <row r="168" spans="1:3" x14ac:dyDescent="0.3">
      <c r="A168"/>
      <c r="B168"/>
      <c r="C168"/>
    </row>
    <row r="169" spans="1:3" x14ac:dyDescent="0.3">
      <c r="A169"/>
      <c r="B169"/>
      <c r="C169"/>
    </row>
    <row r="170" spans="1:3" x14ac:dyDescent="0.3">
      <c r="A170"/>
      <c r="B170"/>
      <c r="C170"/>
    </row>
    <row r="171" spans="1:3" x14ac:dyDescent="0.3">
      <c r="A171"/>
      <c r="B171"/>
      <c r="C171"/>
    </row>
    <row r="172" spans="1:3" x14ac:dyDescent="0.3">
      <c r="A172"/>
      <c r="B172"/>
      <c r="C172"/>
    </row>
    <row r="173" spans="1:3" x14ac:dyDescent="0.3">
      <c r="A173"/>
      <c r="B173"/>
      <c r="C173"/>
    </row>
    <row r="174" spans="1:3" x14ac:dyDescent="0.3">
      <c r="A174"/>
      <c r="B174"/>
      <c r="C174"/>
    </row>
    <row r="175" spans="1:3" x14ac:dyDescent="0.3">
      <c r="A175"/>
      <c r="B175"/>
      <c r="C175"/>
    </row>
    <row r="176" spans="1:3" x14ac:dyDescent="0.3">
      <c r="A176"/>
      <c r="B176"/>
      <c r="C176"/>
    </row>
    <row r="177" spans="1:3" x14ac:dyDescent="0.3">
      <c r="A177"/>
      <c r="B177"/>
      <c r="C177"/>
    </row>
    <row r="178" spans="1:3" x14ac:dyDescent="0.3">
      <c r="A178"/>
      <c r="B178"/>
      <c r="C178"/>
    </row>
    <row r="179" spans="1:3" x14ac:dyDescent="0.3">
      <c r="A179"/>
      <c r="B179"/>
      <c r="C179"/>
    </row>
    <row r="180" spans="1:3" x14ac:dyDescent="0.3">
      <c r="A180"/>
      <c r="B180"/>
      <c r="C180"/>
    </row>
    <row r="181" spans="1:3" x14ac:dyDescent="0.3">
      <c r="A181"/>
      <c r="B181"/>
      <c r="C181"/>
    </row>
    <row r="182" spans="1:3" x14ac:dyDescent="0.3">
      <c r="A182"/>
      <c r="B182"/>
      <c r="C182"/>
    </row>
    <row r="183" spans="1:3" x14ac:dyDescent="0.3">
      <c r="A183"/>
      <c r="B183"/>
      <c r="C183"/>
    </row>
    <row r="184" spans="1:3" x14ac:dyDescent="0.3">
      <c r="A184"/>
      <c r="B184"/>
      <c r="C184"/>
    </row>
    <row r="185" spans="1:3" x14ac:dyDescent="0.3">
      <c r="A185"/>
      <c r="B185"/>
      <c r="C185"/>
    </row>
    <row r="186" spans="1:3" x14ac:dyDescent="0.3">
      <c r="A186"/>
      <c r="B186"/>
      <c r="C186"/>
    </row>
    <row r="187" spans="1:3" x14ac:dyDescent="0.3">
      <c r="A187"/>
      <c r="B187"/>
      <c r="C187"/>
    </row>
    <row r="188" spans="1:3" x14ac:dyDescent="0.3">
      <c r="A188"/>
      <c r="B188"/>
      <c r="C188"/>
    </row>
    <row r="189" spans="1:3" x14ac:dyDescent="0.3">
      <c r="A189"/>
      <c r="B189"/>
      <c r="C189"/>
    </row>
    <row r="190" spans="1:3" x14ac:dyDescent="0.3">
      <c r="A190"/>
      <c r="B190"/>
      <c r="C190"/>
    </row>
    <row r="191" spans="1:3" x14ac:dyDescent="0.3">
      <c r="A191"/>
      <c r="B191"/>
      <c r="C191"/>
    </row>
    <row r="192" spans="1:3" x14ac:dyDescent="0.3">
      <c r="A192"/>
      <c r="B192"/>
      <c r="C192"/>
    </row>
    <row r="193" spans="1:3" x14ac:dyDescent="0.3">
      <c r="A193"/>
      <c r="B193"/>
      <c r="C193"/>
    </row>
    <row r="194" spans="1:3" x14ac:dyDescent="0.3">
      <c r="A194"/>
      <c r="B194"/>
      <c r="C194"/>
    </row>
    <row r="195" spans="1:3" x14ac:dyDescent="0.3">
      <c r="A195"/>
      <c r="B195"/>
      <c r="C195"/>
    </row>
    <row r="196" spans="1:3" x14ac:dyDescent="0.3">
      <c r="A196"/>
      <c r="B196"/>
      <c r="C196"/>
    </row>
    <row r="197" spans="1:3" x14ac:dyDescent="0.3">
      <c r="A197"/>
      <c r="B197"/>
      <c r="C197"/>
    </row>
    <row r="198" spans="1:3" x14ac:dyDescent="0.3">
      <c r="A198"/>
      <c r="B198"/>
      <c r="C198"/>
    </row>
    <row r="199" spans="1:3" x14ac:dyDescent="0.3">
      <c r="A199"/>
      <c r="B199"/>
      <c r="C199"/>
    </row>
    <row r="200" spans="1:3" x14ac:dyDescent="0.3">
      <c r="A200"/>
      <c r="B200"/>
      <c r="C200"/>
    </row>
    <row r="201" spans="1:3" x14ac:dyDescent="0.3">
      <c r="A201"/>
      <c r="B201"/>
      <c r="C201"/>
    </row>
    <row r="202" spans="1:3" x14ac:dyDescent="0.3">
      <c r="A202"/>
      <c r="B202"/>
      <c r="C202"/>
    </row>
    <row r="203" spans="1:3" x14ac:dyDescent="0.3">
      <c r="A203"/>
      <c r="B203"/>
      <c r="C203"/>
    </row>
    <row r="204" spans="1:3" x14ac:dyDescent="0.3">
      <c r="A204"/>
      <c r="B204"/>
      <c r="C204"/>
    </row>
    <row r="205" spans="1:3" x14ac:dyDescent="0.3">
      <c r="A205"/>
      <c r="B205"/>
      <c r="C205"/>
    </row>
    <row r="206" spans="1:3" x14ac:dyDescent="0.3">
      <c r="A206"/>
      <c r="B206"/>
      <c r="C206"/>
    </row>
    <row r="207" spans="1:3" x14ac:dyDescent="0.3">
      <c r="A207"/>
      <c r="B207"/>
      <c r="C207"/>
    </row>
    <row r="208" spans="1:3" x14ac:dyDescent="0.3">
      <c r="A208"/>
      <c r="B208"/>
      <c r="C208"/>
    </row>
    <row r="209" spans="1:3" x14ac:dyDescent="0.3">
      <c r="A209"/>
      <c r="B209"/>
      <c r="C209"/>
    </row>
    <row r="210" spans="1:3" x14ac:dyDescent="0.3">
      <c r="A210"/>
      <c r="B210"/>
      <c r="C210"/>
    </row>
    <row r="211" spans="1:3" x14ac:dyDescent="0.3">
      <c r="A211"/>
      <c r="B211"/>
      <c r="C211"/>
    </row>
    <row r="212" spans="1:3" x14ac:dyDescent="0.3">
      <c r="A212"/>
      <c r="B212"/>
      <c r="C212"/>
    </row>
    <row r="213" spans="1:3" x14ac:dyDescent="0.3">
      <c r="A213"/>
      <c r="B213"/>
      <c r="C213"/>
    </row>
    <row r="214" spans="1:3" x14ac:dyDescent="0.3">
      <c r="A214"/>
      <c r="B214"/>
      <c r="C214"/>
    </row>
    <row r="215" spans="1:3" x14ac:dyDescent="0.3">
      <c r="A215"/>
      <c r="B215"/>
      <c r="C215"/>
    </row>
    <row r="216" spans="1:3" x14ac:dyDescent="0.3">
      <c r="A216"/>
      <c r="B216"/>
      <c r="C216"/>
    </row>
    <row r="217" spans="1:3" x14ac:dyDescent="0.3">
      <c r="A217"/>
      <c r="B217"/>
      <c r="C217"/>
    </row>
    <row r="218" spans="1:3" x14ac:dyDescent="0.3">
      <c r="A218"/>
      <c r="B218"/>
      <c r="C218"/>
    </row>
    <row r="219" spans="1:3" x14ac:dyDescent="0.3">
      <c r="A219"/>
      <c r="B219"/>
      <c r="C219"/>
    </row>
    <row r="220" spans="1:3" x14ac:dyDescent="0.3">
      <c r="A220"/>
      <c r="B220"/>
      <c r="C220"/>
    </row>
    <row r="221" spans="1:3" x14ac:dyDescent="0.3">
      <c r="A221"/>
      <c r="B221"/>
      <c r="C221"/>
    </row>
    <row r="222" spans="1:3" x14ac:dyDescent="0.3">
      <c r="A222"/>
      <c r="B222"/>
      <c r="C222"/>
    </row>
    <row r="223" spans="1:3" x14ac:dyDescent="0.3">
      <c r="A223"/>
      <c r="B223"/>
      <c r="C223"/>
    </row>
    <row r="224" spans="1:3" x14ac:dyDescent="0.3">
      <c r="A224"/>
      <c r="B224"/>
      <c r="C224"/>
    </row>
    <row r="225" spans="1:3" x14ac:dyDescent="0.3">
      <c r="A225"/>
      <c r="B225"/>
      <c r="C225"/>
    </row>
    <row r="226" spans="1:3" x14ac:dyDescent="0.3">
      <c r="A226"/>
      <c r="B226"/>
      <c r="C226"/>
    </row>
    <row r="227" spans="1:3" x14ac:dyDescent="0.3">
      <c r="A227"/>
      <c r="B227"/>
      <c r="C227"/>
    </row>
    <row r="228" spans="1:3" x14ac:dyDescent="0.3">
      <c r="A228"/>
      <c r="B228"/>
      <c r="C228"/>
    </row>
    <row r="229" spans="1:3" x14ac:dyDescent="0.3">
      <c r="A229"/>
      <c r="B229"/>
      <c r="C229"/>
    </row>
    <row r="230" spans="1:3" x14ac:dyDescent="0.3">
      <c r="A230"/>
      <c r="B230"/>
      <c r="C230"/>
    </row>
    <row r="231" spans="1:3" x14ac:dyDescent="0.3">
      <c r="A231"/>
      <c r="B231"/>
      <c r="C231"/>
    </row>
    <row r="232" spans="1:3" x14ac:dyDescent="0.3">
      <c r="A232"/>
      <c r="B232"/>
      <c r="C232"/>
    </row>
    <row r="233" spans="1:3" x14ac:dyDescent="0.3">
      <c r="A233"/>
      <c r="B233"/>
      <c r="C233"/>
    </row>
    <row r="234" spans="1:3" x14ac:dyDescent="0.3">
      <c r="A234"/>
      <c r="B234"/>
      <c r="C234"/>
    </row>
    <row r="235" spans="1:3" x14ac:dyDescent="0.3">
      <c r="A235"/>
      <c r="B235"/>
      <c r="C235"/>
    </row>
    <row r="236" spans="1:3" x14ac:dyDescent="0.3">
      <c r="A236"/>
      <c r="B236"/>
      <c r="C236"/>
    </row>
    <row r="237" spans="1:3" x14ac:dyDescent="0.3">
      <c r="A237"/>
      <c r="B237"/>
      <c r="C237"/>
    </row>
    <row r="238" spans="1:3" x14ac:dyDescent="0.3">
      <c r="A238"/>
      <c r="B238"/>
      <c r="C238"/>
    </row>
    <row r="239" spans="1:3" x14ac:dyDescent="0.3">
      <c r="A239"/>
      <c r="B239"/>
      <c r="C239"/>
    </row>
    <row r="240" spans="1:3" x14ac:dyDescent="0.3">
      <c r="A240"/>
      <c r="B240"/>
      <c r="C240"/>
    </row>
    <row r="241" spans="1:3" x14ac:dyDescent="0.3">
      <c r="A241"/>
      <c r="B241"/>
      <c r="C241"/>
    </row>
  </sheetData>
  <sortState ref="A2:C241">
    <sortCondition descending="1" ref="C1"/>
    <sortCondition ref="A1"/>
  </sortState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3:E29"/>
  <sheetViews>
    <sheetView workbookViewId="0">
      <selection activeCell="H19" sqref="H19"/>
    </sheetView>
  </sheetViews>
  <sheetFormatPr defaultRowHeight="16.5" x14ac:dyDescent="0.3"/>
  <cols>
    <col min="1" max="1" width="9" style="1"/>
    <col min="2" max="2" width="9.125" style="24" bestFit="1" customWidth="1"/>
    <col min="3" max="3" width="9" style="24" bestFit="1" customWidth="1"/>
    <col min="4" max="5" width="7.125" style="24" bestFit="1" customWidth="1"/>
    <col min="6" max="16384" width="9" style="1"/>
  </cols>
  <sheetData>
    <row r="3" spans="2:5" x14ac:dyDescent="0.3">
      <c r="B3" s="25" t="s">
        <v>929</v>
      </c>
      <c r="C3" s="2" t="s">
        <v>927</v>
      </c>
      <c r="D3" s="2" t="s">
        <v>928</v>
      </c>
      <c r="E3" s="2" t="s">
        <v>924</v>
      </c>
    </row>
    <row r="4" spans="2:5" x14ac:dyDescent="0.3">
      <c r="B4" s="17" t="s">
        <v>146</v>
      </c>
      <c r="C4" s="26">
        <v>0</v>
      </c>
      <c r="D4" s="26">
        <v>9</v>
      </c>
      <c r="E4" s="26">
        <v>9</v>
      </c>
    </row>
    <row r="5" spans="2:5" x14ac:dyDescent="0.3">
      <c r="B5" s="17" t="s">
        <v>74</v>
      </c>
      <c r="C5" s="26">
        <v>2</v>
      </c>
      <c r="D5" s="26">
        <v>8</v>
      </c>
      <c r="E5" s="26">
        <v>10</v>
      </c>
    </row>
    <row r="6" spans="2:5" x14ac:dyDescent="0.3">
      <c r="B6" s="17" t="s">
        <v>33</v>
      </c>
      <c r="C6" s="26">
        <v>3</v>
      </c>
      <c r="D6" s="26">
        <v>6</v>
      </c>
      <c r="E6" s="26">
        <v>9</v>
      </c>
    </row>
    <row r="7" spans="2:5" x14ac:dyDescent="0.3">
      <c r="B7" s="17" t="s">
        <v>134</v>
      </c>
      <c r="C7" s="26">
        <v>2</v>
      </c>
      <c r="D7" s="26">
        <v>8</v>
      </c>
      <c r="E7" s="26">
        <v>10</v>
      </c>
    </row>
    <row r="8" spans="2:5" x14ac:dyDescent="0.3">
      <c r="B8" s="17" t="s">
        <v>19</v>
      </c>
      <c r="C8" s="26">
        <v>1</v>
      </c>
      <c r="D8" s="26">
        <v>9</v>
      </c>
      <c r="E8" s="26">
        <v>10</v>
      </c>
    </row>
    <row r="9" spans="2:5" x14ac:dyDescent="0.3">
      <c r="B9" s="17" t="s">
        <v>9</v>
      </c>
      <c r="C9" s="26">
        <v>1</v>
      </c>
      <c r="D9" s="26">
        <v>9</v>
      </c>
      <c r="E9" s="26">
        <v>10</v>
      </c>
    </row>
    <row r="10" spans="2:5" x14ac:dyDescent="0.3">
      <c r="B10" s="17" t="s">
        <v>98</v>
      </c>
      <c r="C10" s="26">
        <v>0</v>
      </c>
      <c r="D10" s="26">
        <v>9</v>
      </c>
      <c r="E10" s="26">
        <v>9</v>
      </c>
    </row>
    <row r="11" spans="2:5" x14ac:dyDescent="0.3">
      <c r="B11" s="17" t="s">
        <v>110</v>
      </c>
      <c r="C11" s="26">
        <v>1</v>
      </c>
      <c r="D11" s="26">
        <v>9</v>
      </c>
      <c r="E11" s="26">
        <v>10</v>
      </c>
    </row>
    <row r="12" spans="2:5" x14ac:dyDescent="0.3">
      <c r="B12" s="17" t="s">
        <v>92</v>
      </c>
      <c r="C12" s="26">
        <v>2</v>
      </c>
      <c r="D12" s="26">
        <v>8</v>
      </c>
      <c r="E12" s="26">
        <v>10</v>
      </c>
    </row>
    <row r="13" spans="2:5" x14ac:dyDescent="0.3">
      <c r="B13" s="17" t="s">
        <v>40</v>
      </c>
      <c r="C13" s="26">
        <v>1</v>
      </c>
      <c r="D13" s="26">
        <v>9</v>
      </c>
      <c r="E13" s="26">
        <v>10</v>
      </c>
    </row>
    <row r="14" spans="2:5" x14ac:dyDescent="0.3">
      <c r="B14" s="17" t="s">
        <v>152</v>
      </c>
      <c r="C14" s="26">
        <v>0</v>
      </c>
      <c r="D14" s="26">
        <v>9</v>
      </c>
      <c r="E14" s="26">
        <v>9</v>
      </c>
    </row>
    <row r="15" spans="2:5" x14ac:dyDescent="0.3">
      <c r="B15" s="17" t="s">
        <v>12</v>
      </c>
      <c r="C15" s="26">
        <v>3</v>
      </c>
      <c r="D15" s="26">
        <v>7</v>
      </c>
      <c r="E15" s="26">
        <v>10</v>
      </c>
    </row>
    <row r="16" spans="2:5" x14ac:dyDescent="0.3">
      <c r="B16" s="17" t="s">
        <v>104</v>
      </c>
      <c r="C16" s="26">
        <v>2</v>
      </c>
      <c r="D16" s="26">
        <v>7</v>
      </c>
      <c r="E16" s="26">
        <v>9</v>
      </c>
    </row>
    <row r="17" spans="2:5" x14ac:dyDescent="0.3">
      <c r="B17" s="17" t="s">
        <v>50</v>
      </c>
      <c r="C17" s="26">
        <v>1</v>
      </c>
      <c r="D17" s="26">
        <v>8</v>
      </c>
      <c r="E17" s="26">
        <v>9</v>
      </c>
    </row>
    <row r="18" spans="2:5" x14ac:dyDescent="0.3">
      <c r="B18" s="17" t="s">
        <v>128</v>
      </c>
      <c r="C18" s="26">
        <v>3</v>
      </c>
      <c r="D18" s="26">
        <v>7</v>
      </c>
      <c r="E18" s="26">
        <v>10</v>
      </c>
    </row>
    <row r="19" spans="2:5" x14ac:dyDescent="0.3">
      <c r="B19" s="17" t="s">
        <v>80</v>
      </c>
      <c r="C19" s="26">
        <v>2</v>
      </c>
      <c r="D19" s="26">
        <v>7</v>
      </c>
      <c r="E19" s="26">
        <v>9</v>
      </c>
    </row>
    <row r="20" spans="2:5" x14ac:dyDescent="0.3">
      <c r="B20" s="17" t="s">
        <v>44</v>
      </c>
      <c r="C20" s="26">
        <v>4</v>
      </c>
      <c r="D20" s="26">
        <v>6</v>
      </c>
      <c r="E20" s="26">
        <v>10</v>
      </c>
    </row>
    <row r="21" spans="2:5" x14ac:dyDescent="0.3">
      <c r="B21" s="17" t="s">
        <v>116</v>
      </c>
      <c r="C21" s="26">
        <v>2</v>
      </c>
      <c r="D21" s="26">
        <v>7</v>
      </c>
      <c r="E21" s="26">
        <v>9</v>
      </c>
    </row>
    <row r="22" spans="2:5" x14ac:dyDescent="0.3">
      <c r="B22" s="17" t="s">
        <v>56</v>
      </c>
      <c r="C22" s="26">
        <v>3</v>
      </c>
      <c r="D22" s="26">
        <v>7</v>
      </c>
      <c r="E22" s="26">
        <v>10</v>
      </c>
    </row>
    <row r="23" spans="2:5" x14ac:dyDescent="0.3">
      <c r="B23" s="17" t="s">
        <v>26</v>
      </c>
      <c r="C23" s="26">
        <v>0</v>
      </c>
      <c r="D23" s="26">
        <v>10</v>
      </c>
      <c r="E23" s="26">
        <v>10</v>
      </c>
    </row>
    <row r="24" spans="2:5" x14ac:dyDescent="0.3">
      <c r="B24" s="17" t="s">
        <v>68</v>
      </c>
      <c r="C24" s="26">
        <v>2</v>
      </c>
      <c r="D24" s="26">
        <v>8</v>
      </c>
      <c r="E24" s="26">
        <v>10</v>
      </c>
    </row>
    <row r="25" spans="2:5" x14ac:dyDescent="0.3">
      <c r="B25" s="17" t="s">
        <v>140</v>
      </c>
      <c r="C25" s="26">
        <v>3</v>
      </c>
      <c r="D25" s="26">
        <v>6</v>
      </c>
      <c r="E25" s="26">
        <v>9</v>
      </c>
    </row>
    <row r="26" spans="2:5" x14ac:dyDescent="0.3">
      <c r="B26" s="17" t="s">
        <v>86</v>
      </c>
      <c r="C26" s="26">
        <v>2</v>
      </c>
      <c r="D26" s="26">
        <v>8</v>
      </c>
      <c r="E26" s="26">
        <v>10</v>
      </c>
    </row>
    <row r="27" spans="2:5" x14ac:dyDescent="0.3">
      <c r="B27" s="17" t="s">
        <v>122</v>
      </c>
      <c r="C27" s="26">
        <v>2</v>
      </c>
      <c r="D27" s="26">
        <v>8</v>
      </c>
      <c r="E27" s="26">
        <v>10</v>
      </c>
    </row>
    <row r="28" spans="2:5" x14ac:dyDescent="0.3">
      <c r="B28" s="17" t="s">
        <v>62</v>
      </c>
      <c r="C28" s="26">
        <v>3</v>
      </c>
      <c r="D28" s="26">
        <v>6</v>
      </c>
      <c r="E28" s="26">
        <v>9</v>
      </c>
    </row>
    <row r="29" spans="2:5" x14ac:dyDescent="0.3">
      <c r="B29" s="17" t="s">
        <v>924</v>
      </c>
      <c r="C29" s="26">
        <v>45</v>
      </c>
      <c r="D29" s="26">
        <v>195</v>
      </c>
      <c r="E29" s="26">
        <v>240</v>
      </c>
    </row>
  </sheetData>
  <phoneticPr fontId="1" type="noConversion"/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C241"/>
  <sheetViews>
    <sheetView tabSelected="1" zoomScale="85" zoomScaleNormal="85" workbookViewId="0">
      <selection activeCell="A2" sqref="A2"/>
    </sheetView>
  </sheetViews>
  <sheetFormatPr defaultRowHeight="16.5" x14ac:dyDescent="0.3"/>
  <cols>
    <col min="1" max="1" width="9" bestFit="1" customWidth="1"/>
    <col min="2" max="2" width="7.125" bestFit="1" customWidth="1"/>
    <col min="3" max="3" width="8.375" bestFit="1" customWidth="1"/>
    <col min="4" max="4" width="9.25" bestFit="1" customWidth="1"/>
    <col min="5" max="5" width="14.375" bestFit="1" customWidth="1"/>
    <col min="6" max="7" width="7.125" bestFit="1" customWidth="1"/>
    <col min="8" max="8" width="2.5" bestFit="1" customWidth="1"/>
    <col min="9" max="9" width="7.25" bestFit="1" customWidth="1"/>
    <col min="10" max="10" width="5.5" bestFit="1" customWidth="1"/>
    <col min="11" max="11" width="6.5" bestFit="1" customWidth="1"/>
    <col min="21" max="21" width="6.125" bestFit="1" customWidth="1"/>
    <col min="22" max="22" width="24.125" bestFit="1" customWidth="1"/>
    <col min="24" max="24" width="61.625" bestFit="1" customWidth="1"/>
    <col min="25" max="25" width="7.875" bestFit="1" customWidth="1"/>
    <col min="26" max="26" width="7.125" bestFit="1" customWidth="1"/>
    <col min="28" max="28" width="11" bestFit="1" customWidth="1"/>
  </cols>
  <sheetData>
    <row r="1" spans="1:29" x14ac:dyDescent="0.3">
      <c r="A1" s="17">
        <v>1</v>
      </c>
      <c r="B1" s="17" t="str">
        <f>IFERROR(VLOOKUP(번호,표1[],COLUMN(),FALSE),"")</f>
        <v>박지윤</v>
      </c>
      <c r="C1" s="17" t="str">
        <f>IFERROR(VLOOKUP(번호,표1[],COLUMN(),FALSE),"")</f>
        <v>wldbs11</v>
      </c>
      <c r="D1" s="17" t="str">
        <f>IFERROR(VLOOKUP(번호,표1[],COLUMN(),FALSE),"")</f>
        <v>Wldbs11!</v>
      </c>
      <c r="E1" s="17" t="str">
        <f>IFERROR(VLOOKUP(번호,표1[],COLUMN(),FALSE),"")</f>
        <v>010-2222-7666</v>
      </c>
      <c r="F1" s="17" t="str">
        <f>IFERROR(VLOOKUP(번호,표1[],COLUMN(),FALSE),"")</f>
        <v>성산구</v>
      </c>
      <c r="G1" s="17" t="str">
        <f>IFERROR(VLOOKUP(번호,표1[],COLUMN(),FALSE),"")</f>
        <v>중앙동</v>
      </c>
      <c r="H1" s="17">
        <f>IFERROR(VLOOKUP(번호,표1[],COLUMN(),FALSE),"")</f>
        <v>8</v>
      </c>
      <c r="I1" s="17" t="str">
        <f>IFERROR(VLOOKUP(번호,표1[],COLUMN(),FALSE),"")</f>
        <v>2,10,11</v>
      </c>
      <c r="J1" s="17">
        <f>IFERROR(VLOOKUP(번호,표1[],COLUMN(),FALSE),"")</f>
        <v>36.299999999999997</v>
      </c>
      <c r="K1" s="17">
        <f>IFERROR(VLOOKUP(번호,표1[],COLUMN(),FALSE),"")</f>
        <v>32000</v>
      </c>
      <c r="N1" s="2" t="s">
        <v>943</v>
      </c>
      <c r="O1" t="s">
        <v>947</v>
      </c>
      <c r="P1" s="2" t="s">
        <v>944</v>
      </c>
      <c r="Q1" s="2" t="s">
        <v>949</v>
      </c>
      <c r="R1" s="2" t="s">
        <v>950</v>
      </c>
      <c r="S1" s="2" t="s">
        <v>948</v>
      </c>
      <c r="U1" s="6" t="s">
        <v>0</v>
      </c>
      <c r="V1" s="6" t="s">
        <v>228</v>
      </c>
      <c r="W1" s="6" t="s">
        <v>184</v>
      </c>
      <c r="X1" s="6" t="s">
        <v>229</v>
      </c>
      <c r="Y1" s="7" t="s">
        <v>230</v>
      </c>
      <c r="Z1" s="13" t="s">
        <v>926</v>
      </c>
      <c r="AA1" s="13" t="s">
        <v>942</v>
      </c>
      <c r="AB1" s="13" t="s">
        <v>945</v>
      </c>
      <c r="AC1" s="13" t="s">
        <v>946</v>
      </c>
    </row>
    <row r="2" spans="1:29" x14ac:dyDescent="0.3">
      <c r="O2" t="str">
        <f>"&lt;&gt;" &amp;번호</f>
        <v>&lt;&gt;1</v>
      </c>
      <c r="S2" t="b">
        <v>0</v>
      </c>
      <c r="U2" s="8"/>
      <c r="V2" s="8"/>
      <c r="W2" s="8"/>
      <c r="X2" s="8"/>
      <c r="Y2" s="9"/>
    </row>
    <row r="3" spans="1:29" x14ac:dyDescent="0.3">
      <c r="U3" s="8"/>
      <c r="V3" s="8"/>
      <c r="W3" s="8"/>
      <c r="X3" s="8"/>
      <c r="Y3" s="9"/>
    </row>
    <row r="4" spans="1:29" x14ac:dyDescent="0.3">
      <c r="A4" t="s">
        <v>952</v>
      </c>
      <c r="B4" t="s">
        <v>953</v>
      </c>
      <c r="D4" t="s">
        <v>955</v>
      </c>
      <c r="E4" t="s">
        <v>960</v>
      </c>
      <c r="U4" s="8"/>
      <c r="V4" s="8"/>
      <c r="W4" s="8"/>
      <c r="X4" s="8"/>
      <c r="Y4" s="9"/>
    </row>
    <row r="5" spans="1:29" x14ac:dyDescent="0.3">
      <c r="A5" s="28" t="s">
        <v>958</v>
      </c>
      <c r="B5">
        <f t="array" ref="B5">SUM((표4[회원번호]=번호)*(표4[상품번호]=상품번호))</f>
        <v>0</v>
      </c>
      <c r="D5" t="s">
        <v>956</v>
      </c>
      <c r="E5">
        <v>14</v>
      </c>
      <c r="U5" s="8"/>
      <c r="V5" s="8"/>
      <c r="W5" s="8"/>
      <c r="X5" s="8"/>
      <c r="Y5" s="9"/>
    </row>
    <row r="6" spans="1:29" x14ac:dyDescent="0.3">
      <c r="U6" s="8"/>
      <c r="V6" s="8"/>
      <c r="W6" s="8"/>
      <c r="X6" s="8"/>
      <c r="Y6" s="9"/>
    </row>
    <row r="7" spans="1:29" x14ac:dyDescent="0.3">
      <c r="U7" s="8"/>
      <c r="V7" s="8"/>
      <c r="W7" s="8"/>
      <c r="X7" s="8"/>
      <c r="Y7" s="9"/>
    </row>
    <row r="8" spans="1:29" x14ac:dyDescent="0.3">
      <c r="U8" s="8"/>
      <c r="V8" s="8"/>
      <c r="W8" s="8"/>
      <c r="X8" s="8"/>
      <c r="Y8" s="9"/>
    </row>
    <row r="9" spans="1:29" x14ac:dyDescent="0.3">
      <c r="U9" s="8"/>
      <c r="V9" s="8"/>
      <c r="W9" s="8"/>
      <c r="X9" s="8"/>
      <c r="Y9" s="9"/>
    </row>
    <row r="10" spans="1:29" x14ac:dyDescent="0.3">
      <c r="U10" s="8"/>
      <c r="V10" s="8"/>
      <c r="W10" s="8"/>
      <c r="X10" s="8"/>
      <c r="Y10" s="9"/>
    </row>
    <row r="11" spans="1:29" x14ac:dyDescent="0.3">
      <c r="U11" s="8"/>
      <c r="V11" s="8"/>
      <c r="W11" s="8"/>
      <c r="X11" s="8"/>
      <c r="Y11" s="9"/>
    </row>
    <row r="12" spans="1:29" x14ac:dyDescent="0.3">
      <c r="U12" s="8"/>
      <c r="V12" s="8"/>
      <c r="W12" s="8"/>
      <c r="X12" s="8"/>
      <c r="Y12" s="9"/>
    </row>
    <row r="13" spans="1:29" x14ac:dyDescent="0.3">
      <c r="U13" s="8"/>
      <c r="V13" s="8"/>
      <c r="W13" s="8"/>
      <c r="X13" s="8"/>
      <c r="Y13" s="9"/>
    </row>
    <row r="14" spans="1:29" x14ac:dyDescent="0.3">
      <c r="U14" s="8"/>
      <c r="V14" s="8"/>
      <c r="W14" s="8"/>
      <c r="X14" s="8"/>
      <c r="Y14" s="9"/>
    </row>
    <row r="15" spans="1:29" x14ac:dyDescent="0.3">
      <c r="U15" s="8"/>
      <c r="V15" s="8"/>
      <c r="W15" s="8"/>
      <c r="X15" s="8"/>
      <c r="Y15" s="9"/>
    </row>
    <row r="16" spans="1:29" x14ac:dyDescent="0.3">
      <c r="U16" s="8"/>
      <c r="V16" s="8"/>
      <c r="W16" s="8"/>
      <c r="X16" s="8"/>
      <c r="Y16" s="9"/>
    </row>
    <row r="17" spans="21:25" x14ac:dyDescent="0.3">
      <c r="U17" s="8"/>
      <c r="V17" s="8"/>
      <c r="W17" s="8"/>
      <c r="X17" s="8"/>
      <c r="Y17" s="9"/>
    </row>
    <row r="18" spans="21:25" x14ac:dyDescent="0.3">
      <c r="U18" s="8"/>
      <c r="V18" s="8"/>
      <c r="W18" s="8"/>
      <c r="X18" s="8"/>
      <c r="Y18" s="9"/>
    </row>
    <row r="19" spans="21:25" x14ac:dyDescent="0.3">
      <c r="U19" s="8"/>
      <c r="V19" s="8"/>
      <c r="W19" s="8"/>
      <c r="X19" s="8"/>
      <c r="Y19" s="9"/>
    </row>
    <row r="20" spans="21:25" x14ac:dyDescent="0.3">
      <c r="U20" s="8"/>
      <c r="V20" s="8"/>
      <c r="W20" s="8"/>
      <c r="X20" s="8"/>
      <c r="Y20" s="9"/>
    </row>
    <row r="21" spans="21:25" x14ac:dyDescent="0.3">
      <c r="U21" s="8"/>
      <c r="V21" s="8"/>
      <c r="W21" s="8"/>
      <c r="X21" s="8"/>
      <c r="Y21" s="9"/>
    </row>
    <row r="22" spans="21:25" x14ac:dyDescent="0.3">
      <c r="U22" s="8"/>
      <c r="V22" s="8"/>
      <c r="W22" s="8"/>
      <c r="X22" s="8"/>
      <c r="Y22" s="9"/>
    </row>
    <row r="23" spans="21:25" x14ac:dyDescent="0.3">
      <c r="U23" s="8"/>
      <c r="V23" s="8"/>
      <c r="W23" s="8"/>
      <c r="X23" s="8"/>
      <c r="Y23" s="9"/>
    </row>
    <row r="24" spans="21:25" x14ac:dyDescent="0.3">
      <c r="U24" s="8"/>
      <c r="V24" s="8"/>
      <c r="W24" s="8"/>
      <c r="X24" s="8"/>
      <c r="Y24" s="9"/>
    </row>
    <row r="25" spans="21:25" x14ac:dyDescent="0.3">
      <c r="U25" s="8"/>
      <c r="V25" s="8"/>
      <c r="W25" s="8"/>
      <c r="X25" s="8"/>
      <c r="Y25" s="9"/>
    </row>
    <row r="26" spans="21:25" x14ac:dyDescent="0.3">
      <c r="U26" s="8"/>
      <c r="V26" s="8"/>
      <c r="W26" s="8"/>
      <c r="X26" s="8"/>
      <c r="Y26" s="9"/>
    </row>
    <row r="27" spans="21:25" x14ac:dyDescent="0.3">
      <c r="U27" s="8"/>
      <c r="V27" s="8"/>
      <c r="W27" s="8"/>
      <c r="X27" s="8"/>
      <c r="Y27" s="9"/>
    </row>
    <row r="28" spans="21:25" x14ac:dyDescent="0.3">
      <c r="U28" s="8"/>
      <c r="V28" s="8"/>
      <c r="W28" s="8"/>
      <c r="X28" s="8"/>
      <c r="Y28" s="9"/>
    </row>
    <row r="29" spans="21:25" x14ac:dyDescent="0.3">
      <c r="U29" s="8"/>
      <c r="V29" s="8"/>
      <c r="W29" s="8"/>
      <c r="X29" s="8"/>
      <c r="Y29" s="9"/>
    </row>
    <row r="30" spans="21:25" x14ac:dyDescent="0.3">
      <c r="U30" s="8"/>
      <c r="V30" s="8"/>
      <c r="W30" s="8"/>
      <c r="X30" s="8"/>
      <c r="Y30" s="9"/>
    </row>
    <row r="31" spans="21:25" x14ac:dyDescent="0.3">
      <c r="U31" s="8"/>
      <c r="V31" s="8"/>
      <c r="W31" s="8"/>
      <c r="X31" s="8"/>
      <c r="Y31" s="9"/>
    </row>
    <row r="32" spans="21:25" x14ac:dyDescent="0.3">
      <c r="U32" s="8"/>
      <c r="V32" s="8"/>
      <c r="W32" s="8"/>
      <c r="X32" s="8"/>
      <c r="Y32" s="9"/>
    </row>
    <row r="33" spans="21:25" x14ac:dyDescent="0.3">
      <c r="U33" s="8"/>
      <c r="V33" s="8"/>
      <c r="W33" s="8"/>
      <c r="X33" s="8"/>
      <c r="Y33" s="9"/>
    </row>
    <row r="34" spans="21:25" x14ac:dyDescent="0.3">
      <c r="U34" s="8"/>
      <c r="V34" s="8"/>
      <c r="W34" s="8"/>
      <c r="X34" s="8"/>
      <c r="Y34" s="9"/>
    </row>
    <row r="35" spans="21:25" x14ac:dyDescent="0.3">
      <c r="U35" s="8"/>
      <c r="V35" s="8"/>
      <c r="W35" s="8"/>
      <c r="X35" s="8"/>
      <c r="Y35" s="9"/>
    </row>
    <row r="36" spans="21:25" x14ac:dyDescent="0.3">
      <c r="U36" s="8"/>
      <c r="V36" s="8"/>
      <c r="W36" s="8"/>
      <c r="X36" s="8"/>
      <c r="Y36" s="9"/>
    </row>
    <row r="37" spans="21:25" x14ac:dyDescent="0.3">
      <c r="U37" s="8"/>
      <c r="V37" s="8"/>
      <c r="W37" s="8"/>
      <c r="X37" s="8"/>
      <c r="Y37" s="9"/>
    </row>
    <row r="38" spans="21:25" x14ac:dyDescent="0.3">
      <c r="U38" s="8"/>
      <c r="V38" s="8"/>
      <c r="W38" s="8"/>
      <c r="X38" s="8"/>
      <c r="Y38" s="9"/>
    </row>
    <row r="39" spans="21:25" x14ac:dyDescent="0.3">
      <c r="U39" s="8"/>
      <c r="V39" s="8"/>
      <c r="W39" s="8"/>
      <c r="X39" s="8"/>
      <c r="Y39" s="9"/>
    </row>
    <row r="40" spans="21:25" x14ac:dyDescent="0.3">
      <c r="U40" s="8"/>
      <c r="V40" s="8"/>
      <c r="W40" s="8"/>
      <c r="X40" s="8"/>
      <c r="Y40" s="9"/>
    </row>
    <row r="41" spans="21:25" x14ac:dyDescent="0.3">
      <c r="U41" s="8"/>
      <c r="V41" s="8"/>
      <c r="W41" s="8"/>
      <c r="X41" s="8"/>
      <c r="Y41" s="9"/>
    </row>
    <row r="42" spans="21:25" x14ac:dyDescent="0.3">
      <c r="U42" s="8"/>
      <c r="V42" s="8"/>
      <c r="W42" s="8"/>
      <c r="X42" s="8"/>
      <c r="Y42" s="9"/>
    </row>
    <row r="43" spans="21:25" x14ac:dyDescent="0.3">
      <c r="U43" s="8"/>
      <c r="V43" s="8"/>
      <c r="W43" s="8"/>
      <c r="X43" s="8"/>
      <c r="Y43" s="9"/>
    </row>
    <row r="44" spans="21:25" x14ac:dyDescent="0.3">
      <c r="U44" s="8"/>
      <c r="V44" s="8"/>
      <c r="W44" s="8"/>
      <c r="X44" s="8"/>
      <c r="Y44" s="9"/>
    </row>
    <row r="45" spans="21:25" x14ac:dyDescent="0.3">
      <c r="U45" s="8"/>
      <c r="V45" s="8"/>
      <c r="W45" s="8"/>
      <c r="X45" s="8"/>
      <c r="Y45" s="9"/>
    </row>
    <row r="46" spans="21:25" x14ac:dyDescent="0.3">
      <c r="U46" s="8"/>
      <c r="V46" s="8"/>
      <c r="W46" s="8"/>
      <c r="X46" s="8"/>
      <c r="Y46" s="9"/>
    </row>
    <row r="47" spans="21:25" x14ac:dyDescent="0.3">
      <c r="U47" s="8"/>
      <c r="V47" s="8"/>
      <c r="W47" s="8"/>
      <c r="X47" s="8"/>
      <c r="Y47" s="9"/>
    </row>
    <row r="48" spans="21:25" x14ac:dyDescent="0.3">
      <c r="U48" s="8"/>
      <c r="V48" s="8"/>
      <c r="W48" s="8"/>
      <c r="X48" s="8"/>
      <c r="Y48" s="9"/>
    </row>
    <row r="49" spans="21:25" x14ac:dyDescent="0.3">
      <c r="U49" s="8"/>
      <c r="V49" s="8"/>
      <c r="W49" s="8"/>
      <c r="X49" s="8"/>
      <c r="Y49" s="9"/>
    </row>
    <row r="50" spans="21:25" x14ac:dyDescent="0.3">
      <c r="U50" s="8"/>
      <c r="V50" s="8"/>
      <c r="W50" s="8"/>
      <c r="X50" s="8"/>
      <c r="Y50" s="9"/>
    </row>
    <row r="51" spans="21:25" x14ac:dyDescent="0.3">
      <c r="U51" s="8"/>
      <c r="V51" s="8"/>
      <c r="W51" s="8"/>
      <c r="X51" s="8"/>
      <c r="Y51" s="9"/>
    </row>
    <row r="52" spans="21:25" x14ac:dyDescent="0.3">
      <c r="U52" s="8"/>
      <c r="V52" s="8"/>
      <c r="W52" s="8"/>
      <c r="X52" s="8"/>
      <c r="Y52" s="9"/>
    </row>
    <row r="53" spans="21:25" x14ac:dyDescent="0.3">
      <c r="U53" s="8"/>
      <c r="V53" s="8"/>
      <c r="W53" s="8"/>
      <c r="X53" s="8"/>
      <c r="Y53" s="9"/>
    </row>
    <row r="54" spans="21:25" x14ac:dyDescent="0.3">
      <c r="U54" s="8"/>
      <c r="V54" s="8"/>
      <c r="W54" s="8"/>
      <c r="X54" s="8"/>
      <c r="Y54" s="9"/>
    </row>
    <row r="55" spans="21:25" x14ac:dyDescent="0.3">
      <c r="U55" s="8"/>
      <c r="V55" s="8"/>
      <c r="W55" s="8"/>
      <c r="X55" s="8"/>
      <c r="Y55" s="9"/>
    </row>
    <row r="56" spans="21:25" x14ac:dyDescent="0.3">
      <c r="U56" s="8"/>
      <c r="V56" s="8"/>
      <c r="W56" s="8"/>
      <c r="X56" s="8"/>
      <c r="Y56" s="9"/>
    </row>
    <row r="57" spans="21:25" x14ac:dyDescent="0.3">
      <c r="U57" s="8"/>
      <c r="V57" s="8"/>
      <c r="W57" s="8"/>
      <c r="X57" s="8"/>
      <c r="Y57" s="9"/>
    </row>
    <row r="58" spans="21:25" x14ac:dyDescent="0.3">
      <c r="U58" s="8"/>
      <c r="V58" s="8"/>
      <c r="W58" s="8"/>
      <c r="X58" s="8"/>
      <c r="Y58" s="9"/>
    </row>
    <row r="59" spans="21:25" x14ac:dyDescent="0.3">
      <c r="U59" s="8"/>
      <c r="V59" s="8"/>
      <c r="W59" s="8"/>
      <c r="X59" s="8"/>
      <c r="Y59" s="9"/>
    </row>
    <row r="60" spans="21:25" x14ac:dyDescent="0.3">
      <c r="U60" s="8"/>
      <c r="V60" s="8"/>
      <c r="W60" s="8"/>
      <c r="X60" s="8"/>
      <c r="Y60" s="9"/>
    </row>
    <row r="61" spans="21:25" x14ac:dyDescent="0.3">
      <c r="U61" s="8"/>
      <c r="V61" s="8"/>
      <c r="W61" s="8"/>
      <c r="X61" s="8"/>
      <c r="Y61" s="9"/>
    </row>
    <row r="62" spans="21:25" x14ac:dyDescent="0.3">
      <c r="U62" s="8"/>
      <c r="V62" s="8"/>
      <c r="W62" s="8"/>
      <c r="X62" s="8"/>
      <c r="Y62" s="9"/>
    </row>
    <row r="63" spans="21:25" x14ac:dyDescent="0.3">
      <c r="U63" s="8"/>
      <c r="V63" s="8"/>
      <c r="W63" s="8"/>
      <c r="X63" s="8"/>
      <c r="Y63" s="9"/>
    </row>
    <row r="64" spans="21:25" x14ac:dyDescent="0.3">
      <c r="U64" s="8"/>
      <c r="V64" s="8"/>
      <c r="W64" s="8"/>
      <c r="X64" s="8"/>
      <c r="Y64" s="9"/>
    </row>
    <row r="65" spans="21:25" x14ac:dyDescent="0.3">
      <c r="U65" s="8"/>
      <c r="V65" s="8"/>
      <c r="W65" s="8"/>
      <c r="X65" s="8"/>
      <c r="Y65" s="9"/>
    </row>
    <row r="66" spans="21:25" x14ac:dyDescent="0.3">
      <c r="U66" s="8"/>
      <c r="V66" s="8"/>
      <c r="W66" s="8"/>
      <c r="X66" s="8"/>
      <c r="Y66" s="9"/>
    </row>
    <row r="67" spans="21:25" x14ac:dyDescent="0.3">
      <c r="U67" s="8"/>
      <c r="V67" s="8"/>
      <c r="W67" s="8"/>
      <c r="X67" s="8"/>
      <c r="Y67" s="9"/>
    </row>
    <row r="68" spans="21:25" x14ac:dyDescent="0.3">
      <c r="U68" s="8"/>
      <c r="V68" s="8"/>
      <c r="W68" s="8"/>
      <c r="X68" s="8"/>
      <c r="Y68" s="9"/>
    </row>
    <row r="69" spans="21:25" x14ac:dyDescent="0.3">
      <c r="U69" s="8"/>
      <c r="V69" s="8"/>
      <c r="W69" s="8"/>
      <c r="X69" s="8"/>
      <c r="Y69" s="9"/>
    </row>
    <row r="70" spans="21:25" x14ac:dyDescent="0.3">
      <c r="U70" s="8"/>
      <c r="V70" s="8"/>
      <c r="W70" s="8"/>
      <c r="X70" s="8"/>
      <c r="Y70" s="9"/>
    </row>
    <row r="71" spans="21:25" x14ac:dyDescent="0.3">
      <c r="U71" s="8"/>
      <c r="V71" s="8"/>
      <c r="W71" s="8"/>
      <c r="X71" s="8"/>
      <c r="Y71" s="9"/>
    </row>
    <row r="72" spans="21:25" x14ac:dyDescent="0.3">
      <c r="U72" s="8"/>
      <c r="V72" s="8"/>
      <c r="W72" s="8"/>
      <c r="X72" s="8"/>
      <c r="Y72" s="9"/>
    </row>
    <row r="73" spans="21:25" x14ac:dyDescent="0.3">
      <c r="U73" s="8"/>
      <c r="V73" s="8"/>
      <c r="W73" s="8"/>
      <c r="X73" s="8"/>
      <c r="Y73" s="9"/>
    </row>
    <row r="74" spans="21:25" x14ac:dyDescent="0.3">
      <c r="U74" s="8"/>
      <c r="V74" s="8"/>
      <c r="W74" s="8"/>
      <c r="X74" s="8"/>
      <c r="Y74" s="9"/>
    </row>
    <row r="75" spans="21:25" x14ac:dyDescent="0.3">
      <c r="U75" s="8"/>
      <c r="V75" s="8"/>
      <c r="W75" s="8"/>
      <c r="X75" s="8"/>
      <c r="Y75" s="9"/>
    </row>
    <row r="76" spans="21:25" x14ac:dyDescent="0.3">
      <c r="U76" s="8"/>
      <c r="V76" s="8"/>
      <c r="W76" s="8"/>
      <c r="X76" s="8"/>
      <c r="Y76" s="9"/>
    </row>
    <row r="77" spans="21:25" x14ac:dyDescent="0.3">
      <c r="U77" s="8"/>
      <c r="V77" s="8"/>
      <c r="W77" s="8"/>
      <c r="X77" s="8"/>
      <c r="Y77" s="9"/>
    </row>
    <row r="78" spans="21:25" x14ac:dyDescent="0.3">
      <c r="U78" s="8"/>
      <c r="V78" s="8"/>
      <c r="W78" s="8"/>
      <c r="X78" s="8"/>
      <c r="Y78" s="9"/>
    </row>
    <row r="79" spans="21:25" x14ac:dyDescent="0.3">
      <c r="U79" s="8"/>
      <c r="V79" s="8"/>
      <c r="W79" s="8"/>
      <c r="X79" s="8"/>
      <c r="Y79" s="9"/>
    </row>
    <row r="80" spans="21:25" x14ac:dyDescent="0.3">
      <c r="U80" s="8"/>
      <c r="V80" s="8"/>
      <c r="W80" s="8"/>
      <c r="X80" s="8"/>
      <c r="Y80" s="9"/>
    </row>
    <row r="81" spans="21:25" x14ac:dyDescent="0.3">
      <c r="U81" s="8"/>
      <c r="V81" s="8"/>
      <c r="W81" s="8"/>
      <c r="X81" s="8"/>
      <c r="Y81" s="9"/>
    </row>
    <row r="82" spans="21:25" x14ac:dyDescent="0.3">
      <c r="U82" s="8"/>
      <c r="V82" s="8"/>
      <c r="W82" s="8"/>
      <c r="X82" s="8"/>
      <c r="Y82" s="9"/>
    </row>
    <row r="83" spans="21:25" x14ac:dyDescent="0.3">
      <c r="U83" s="8"/>
      <c r="V83" s="8"/>
      <c r="W83" s="8"/>
      <c r="X83" s="8"/>
      <c r="Y83" s="9"/>
    </row>
    <row r="84" spans="21:25" x14ac:dyDescent="0.3">
      <c r="U84" s="8"/>
      <c r="V84" s="8"/>
      <c r="W84" s="8"/>
      <c r="X84" s="8"/>
      <c r="Y84" s="9"/>
    </row>
    <row r="85" spans="21:25" x14ac:dyDescent="0.3">
      <c r="U85" s="8"/>
      <c r="V85" s="8"/>
      <c r="W85" s="8"/>
      <c r="X85" s="8"/>
      <c r="Y85" s="9"/>
    </row>
    <row r="86" spans="21:25" x14ac:dyDescent="0.3">
      <c r="U86" s="8"/>
      <c r="V86" s="8"/>
      <c r="W86" s="8"/>
      <c r="X86" s="8"/>
      <c r="Y86" s="9"/>
    </row>
    <row r="87" spans="21:25" x14ac:dyDescent="0.3">
      <c r="U87" s="8"/>
      <c r="V87" s="8"/>
      <c r="W87" s="8"/>
      <c r="X87" s="8"/>
      <c r="Y87" s="9"/>
    </row>
    <row r="88" spans="21:25" x14ac:dyDescent="0.3">
      <c r="U88" s="8"/>
      <c r="V88" s="8"/>
      <c r="W88" s="8"/>
      <c r="X88" s="8"/>
      <c r="Y88" s="9"/>
    </row>
    <row r="89" spans="21:25" x14ac:dyDescent="0.3">
      <c r="U89" s="8"/>
      <c r="V89" s="8"/>
      <c r="W89" s="8"/>
      <c r="X89" s="8"/>
      <c r="Y89" s="9"/>
    </row>
    <row r="90" spans="21:25" x14ac:dyDescent="0.3">
      <c r="U90" s="8"/>
      <c r="V90" s="8"/>
      <c r="W90" s="8"/>
      <c r="X90" s="8"/>
      <c r="Y90" s="9"/>
    </row>
    <row r="91" spans="21:25" x14ac:dyDescent="0.3">
      <c r="U91" s="8"/>
      <c r="V91" s="8"/>
      <c r="W91" s="8"/>
      <c r="X91" s="8"/>
      <c r="Y91" s="9"/>
    </row>
    <row r="92" spans="21:25" x14ac:dyDescent="0.3">
      <c r="U92" s="8"/>
      <c r="V92" s="8"/>
      <c r="W92" s="8"/>
      <c r="X92" s="8"/>
      <c r="Y92" s="9"/>
    </row>
    <row r="93" spans="21:25" x14ac:dyDescent="0.3">
      <c r="U93" s="8"/>
      <c r="V93" s="8"/>
      <c r="W93" s="8"/>
      <c r="X93" s="8"/>
      <c r="Y93" s="9"/>
    </row>
    <row r="94" spans="21:25" x14ac:dyDescent="0.3">
      <c r="U94" s="8"/>
      <c r="V94" s="8"/>
      <c r="W94" s="8"/>
      <c r="X94" s="8"/>
      <c r="Y94" s="9"/>
    </row>
    <row r="95" spans="21:25" x14ac:dyDescent="0.3">
      <c r="U95" s="8"/>
      <c r="V95" s="8"/>
      <c r="W95" s="8"/>
      <c r="X95" s="8"/>
      <c r="Y95" s="9"/>
    </row>
    <row r="96" spans="21:25" x14ac:dyDescent="0.3">
      <c r="U96" s="8"/>
      <c r="V96" s="8"/>
      <c r="W96" s="8"/>
      <c r="X96" s="8"/>
      <c r="Y96" s="9"/>
    </row>
    <row r="97" spans="21:25" x14ac:dyDescent="0.3">
      <c r="U97" s="8"/>
      <c r="V97" s="8"/>
      <c r="W97" s="8"/>
      <c r="X97" s="8"/>
      <c r="Y97" s="9"/>
    </row>
    <row r="98" spans="21:25" x14ac:dyDescent="0.3">
      <c r="U98" s="8"/>
      <c r="V98" s="8"/>
      <c r="W98" s="8"/>
      <c r="X98" s="8"/>
      <c r="Y98" s="9"/>
    </row>
    <row r="99" spans="21:25" x14ac:dyDescent="0.3">
      <c r="U99" s="8"/>
      <c r="V99" s="8"/>
      <c r="W99" s="8"/>
      <c r="X99" s="8"/>
      <c r="Y99" s="9"/>
    </row>
    <row r="100" spans="21:25" x14ac:dyDescent="0.3">
      <c r="U100" s="8"/>
      <c r="V100" s="8"/>
      <c r="W100" s="8"/>
      <c r="X100" s="8"/>
      <c r="Y100" s="9"/>
    </row>
    <row r="101" spans="21:25" x14ac:dyDescent="0.3">
      <c r="U101" s="8"/>
      <c r="V101" s="8"/>
      <c r="W101" s="8"/>
      <c r="X101" s="8"/>
      <c r="Y101" s="9"/>
    </row>
    <row r="102" spans="21:25" x14ac:dyDescent="0.3">
      <c r="U102" s="8"/>
      <c r="V102" s="8"/>
      <c r="W102" s="8"/>
      <c r="X102" s="8"/>
      <c r="Y102" s="9"/>
    </row>
    <row r="103" spans="21:25" x14ac:dyDescent="0.3">
      <c r="U103" s="8"/>
      <c r="V103" s="8"/>
      <c r="W103" s="8"/>
      <c r="X103" s="8"/>
      <c r="Y103" s="9"/>
    </row>
    <row r="104" spans="21:25" x14ac:dyDescent="0.3">
      <c r="U104" s="8"/>
      <c r="V104" s="8"/>
      <c r="W104" s="8"/>
      <c r="X104" s="8"/>
      <c r="Y104" s="9"/>
    </row>
    <row r="105" spans="21:25" x14ac:dyDescent="0.3">
      <c r="U105" s="8"/>
      <c r="V105" s="8"/>
      <c r="W105" s="8"/>
      <c r="X105" s="8"/>
      <c r="Y105" s="9"/>
    </row>
    <row r="106" spans="21:25" x14ac:dyDescent="0.3">
      <c r="U106" s="8"/>
      <c r="V106" s="8"/>
      <c r="W106" s="8"/>
      <c r="X106" s="8"/>
      <c r="Y106" s="9"/>
    </row>
    <row r="107" spans="21:25" x14ac:dyDescent="0.3">
      <c r="U107" s="8"/>
      <c r="V107" s="8"/>
      <c r="W107" s="8"/>
      <c r="X107" s="8"/>
      <c r="Y107" s="9"/>
    </row>
    <row r="108" spans="21:25" x14ac:dyDescent="0.3">
      <c r="U108" s="8"/>
      <c r="V108" s="8"/>
      <c r="W108" s="8"/>
      <c r="X108" s="8"/>
      <c r="Y108" s="9"/>
    </row>
    <row r="109" spans="21:25" x14ac:dyDescent="0.3">
      <c r="U109" s="8"/>
      <c r="V109" s="8"/>
      <c r="W109" s="8"/>
      <c r="X109" s="8"/>
      <c r="Y109" s="9"/>
    </row>
    <row r="110" spans="21:25" x14ac:dyDescent="0.3">
      <c r="U110" s="8"/>
      <c r="V110" s="8"/>
      <c r="W110" s="8"/>
      <c r="X110" s="8"/>
      <c r="Y110" s="9"/>
    </row>
    <row r="111" spans="21:25" x14ac:dyDescent="0.3">
      <c r="U111" s="8"/>
      <c r="V111" s="8"/>
      <c r="W111" s="8"/>
      <c r="X111" s="8"/>
      <c r="Y111" s="9"/>
    </row>
    <row r="112" spans="21:25" x14ac:dyDescent="0.3">
      <c r="U112" s="8"/>
      <c r="V112" s="8"/>
      <c r="W112" s="8"/>
      <c r="X112" s="8"/>
      <c r="Y112" s="9"/>
    </row>
    <row r="113" spans="21:25" x14ac:dyDescent="0.3">
      <c r="U113" s="8"/>
      <c r="V113" s="8"/>
      <c r="W113" s="8"/>
      <c r="X113" s="8"/>
      <c r="Y113" s="9"/>
    </row>
    <row r="114" spans="21:25" x14ac:dyDescent="0.3">
      <c r="U114" s="8"/>
      <c r="V114" s="8"/>
      <c r="W114" s="8"/>
      <c r="X114" s="8"/>
      <c r="Y114" s="9"/>
    </row>
    <row r="115" spans="21:25" x14ac:dyDescent="0.3">
      <c r="U115" s="8"/>
      <c r="V115" s="8"/>
      <c r="W115" s="8"/>
      <c r="X115" s="8"/>
      <c r="Y115" s="9"/>
    </row>
    <row r="116" spans="21:25" x14ac:dyDescent="0.3">
      <c r="U116" s="8"/>
      <c r="V116" s="8"/>
      <c r="W116" s="8"/>
      <c r="X116" s="8"/>
      <c r="Y116" s="9"/>
    </row>
    <row r="117" spans="21:25" x14ac:dyDescent="0.3">
      <c r="U117" s="8"/>
      <c r="V117" s="8"/>
      <c r="W117" s="8"/>
      <c r="X117" s="8"/>
      <c r="Y117" s="9"/>
    </row>
    <row r="118" spans="21:25" x14ac:dyDescent="0.3">
      <c r="U118" s="8"/>
      <c r="V118" s="8"/>
      <c r="W118" s="8"/>
      <c r="X118" s="8"/>
      <c r="Y118" s="9"/>
    </row>
    <row r="119" spans="21:25" x14ac:dyDescent="0.3">
      <c r="U119" s="8"/>
      <c r="V119" s="8"/>
      <c r="W119" s="8"/>
      <c r="X119" s="8"/>
      <c r="Y119" s="9"/>
    </row>
    <row r="120" spans="21:25" x14ac:dyDescent="0.3">
      <c r="U120" s="8"/>
      <c r="V120" s="8"/>
      <c r="W120" s="8"/>
      <c r="X120" s="8"/>
      <c r="Y120" s="9"/>
    </row>
    <row r="121" spans="21:25" x14ac:dyDescent="0.3">
      <c r="U121" s="8"/>
      <c r="V121" s="8"/>
      <c r="W121" s="8"/>
      <c r="X121" s="8"/>
      <c r="Y121" s="9"/>
    </row>
    <row r="122" spans="21:25" x14ac:dyDescent="0.3">
      <c r="U122" s="8"/>
      <c r="V122" s="8"/>
      <c r="W122" s="8"/>
      <c r="X122" s="8"/>
      <c r="Y122" s="9"/>
    </row>
    <row r="123" spans="21:25" x14ac:dyDescent="0.3">
      <c r="U123" s="8"/>
      <c r="V123" s="8"/>
      <c r="W123" s="8"/>
      <c r="X123" s="8"/>
      <c r="Y123" s="9"/>
    </row>
    <row r="124" spans="21:25" x14ac:dyDescent="0.3">
      <c r="U124" s="8"/>
      <c r="V124" s="8"/>
      <c r="W124" s="8"/>
      <c r="X124" s="8"/>
      <c r="Y124" s="9"/>
    </row>
    <row r="125" spans="21:25" x14ac:dyDescent="0.3">
      <c r="U125" s="8"/>
      <c r="V125" s="8"/>
      <c r="W125" s="8"/>
      <c r="X125" s="8"/>
      <c r="Y125" s="9"/>
    </row>
    <row r="126" spans="21:25" x14ac:dyDescent="0.3">
      <c r="U126" s="8"/>
      <c r="V126" s="8"/>
      <c r="W126" s="8"/>
      <c r="X126" s="8"/>
      <c r="Y126" s="9"/>
    </row>
    <row r="127" spans="21:25" x14ac:dyDescent="0.3">
      <c r="U127" s="8"/>
      <c r="V127" s="8"/>
      <c r="W127" s="8"/>
      <c r="X127" s="8"/>
      <c r="Y127" s="9"/>
    </row>
    <row r="128" spans="21:25" x14ac:dyDescent="0.3">
      <c r="U128" s="8"/>
      <c r="V128" s="8"/>
      <c r="W128" s="8"/>
      <c r="X128" s="8"/>
      <c r="Y128" s="9"/>
    </row>
    <row r="129" spans="21:25" x14ac:dyDescent="0.3">
      <c r="U129" s="8"/>
      <c r="V129" s="8"/>
      <c r="W129" s="8"/>
      <c r="X129" s="8"/>
      <c r="Y129" s="9"/>
    </row>
    <row r="130" spans="21:25" x14ac:dyDescent="0.3">
      <c r="U130" s="8"/>
      <c r="V130" s="8"/>
      <c r="W130" s="8"/>
      <c r="X130" s="8"/>
      <c r="Y130" s="9"/>
    </row>
    <row r="131" spans="21:25" x14ac:dyDescent="0.3">
      <c r="U131" s="8"/>
      <c r="V131" s="8"/>
      <c r="W131" s="8"/>
      <c r="X131" s="8"/>
      <c r="Y131" s="9"/>
    </row>
    <row r="132" spans="21:25" x14ac:dyDescent="0.3">
      <c r="U132" s="8"/>
      <c r="V132" s="8"/>
      <c r="W132" s="8"/>
      <c r="X132" s="8"/>
      <c r="Y132" s="9"/>
    </row>
    <row r="133" spans="21:25" x14ac:dyDescent="0.3">
      <c r="U133" s="8"/>
      <c r="V133" s="8"/>
      <c r="W133" s="8"/>
      <c r="X133" s="8"/>
      <c r="Y133" s="9"/>
    </row>
    <row r="134" spans="21:25" x14ac:dyDescent="0.3">
      <c r="U134" s="8"/>
      <c r="V134" s="8"/>
      <c r="W134" s="8"/>
      <c r="X134" s="8"/>
      <c r="Y134" s="9"/>
    </row>
    <row r="135" spans="21:25" x14ac:dyDescent="0.3">
      <c r="U135" s="8"/>
      <c r="V135" s="8"/>
      <c r="W135" s="8"/>
      <c r="X135" s="8"/>
      <c r="Y135" s="9"/>
    </row>
    <row r="136" spans="21:25" x14ac:dyDescent="0.3">
      <c r="U136" s="8"/>
      <c r="V136" s="8"/>
      <c r="W136" s="8"/>
      <c r="X136" s="8"/>
      <c r="Y136" s="9"/>
    </row>
    <row r="137" spans="21:25" x14ac:dyDescent="0.3">
      <c r="U137" s="8"/>
      <c r="V137" s="8"/>
      <c r="W137" s="8"/>
      <c r="X137" s="8"/>
      <c r="Y137" s="9"/>
    </row>
    <row r="138" spans="21:25" x14ac:dyDescent="0.3">
      <c r="U138" s="8"/>
      <c r="V138" s="8"/>
      <c r="W138" s="8"/>
      <c r="X138" s="8"/>
      <c r="Y138" s="9"/>
    </row>
    <row r="139" spans="21:25" x14ac:dyDescent="0.3">
      <c r="U139" s="8"/>
      <c r="V139" s="8"/>
      <c r="W139" s="8"/>
      <c r="X139" s="8"/>
      <c r="Y139" s="9"/>
    </row>
    <row r="140" spans="21:25" x14ac:dyDescent="0.3">
      <c r="U140" s="8"/>
      <c r="V140" s="8"/>
      <c r="W140" s="8"/>
      <c r="X140" s="8"/>
      <c r="Y140" s="9"/>
    </row>
    <row r="141" spans="21:25" x14ac:dyDescent="0.3">
      <c r="U141" s="8"/>
      <c r="V141" s="8"/>
      <c r="W141" s="8"/>
      <c r="X141" s="8"/>
      <c r="Y141" s="9"/>
    </row>
    <row r="142" spans="21:25" x14ac:dyDescent="0.3">
      <c r="U142" s="8"/>
      <c r="V142" s="8"/>
      <c r="W142" s="8"/>
      <c r="X142" s="8"/>
      <c r="Y142" s="9"/>
    </row>
    <row r="143" spans="21:25" x14ac:dyDescent="0.3">
      <c r="U143" s="8"/>
      <c r="V143" s="8"/>
      <c r="W143" s="8"/>
      <c r="X143" s="8"/>
      <c r="Y143" s="9"/>
    </row>
    <row r="144" spans="21:25" x14ac:dyDescent="0.3">
      <c r="U144" s="8"/>
      <c r="V144" s="8"/>
      <c r="W144" s="8"/>
      <c r="X144" s="8"/>
      <c r="Y144" s="9"/>
    </row>
    <row r="145" spans="21:25" x14ac:dyDescent="0.3">
      <c r="U145" s="8"/>
      <c r="V145" s="8"/>
      <c r="W145" s="8"/>
      <c r="X145" s="8"/>
      <c r="Y145" s="9"/>
    </row>
    <row r="146" spans="21:25" x14ac:dyDescent="0.3">
      <c r="U146" s="8"/>
      <c r="V146" s="8"/>
      <c r="W146" s="8"/>
      <c r="X146" s="8"/>
      <c r="Y146" s="9"/>
    </row>
    <row r="147" spans="21:25" x14ac:dyDescent="0.3">
      <c r="U147" s="8"/>
      <c r="V147" s="8"/>
      <c r="W147" s="8"/>
      <c r="X147" s="8"/>
      <c r="Y147" s="9"/>
    </row>
    <row r="148" spans="21:25" x14ac:dyDescent="0.3">
      <c r="U148" s="8"/>
      <c r="V148" s="8"/>
      <c r="W148" s="8"/>
      <c r="X148" s="8"/>
      <c r="Y148" s="9"/>
    </row>
    <row r="149" spans="21:25" x14ac:dyDescent="0.3">
      <c r="U149" s="8"/>
      <c r="V149" s="8"/>
      <c r="W149" s="8"/>
      <c r="X149" s="8"/>
      <c r="Y149" s="9"/>
    </row>
    <row r="150" spans="21:25" x14ac:dyDescent="0.3">
      <c r="U150" s="8"/>
      <c r="V150" s="8"/>
      <c r="W150" s="8"/>
      <c r="X150" s="8"/>
      <c r="Y150" s="9"/>
    </row>
    <row r="151" spans="21:25" x14ac:dyDescent="0.3">
      <c r="U151" s="8"/>
      <c r="V151" s="8"/>
      <c r="W151" s="8"/>
      <c r="X151" s="8"/>
      <c r="Y151" s="9"/>
    </row>
    <row r="152" spans="21:25" x14ac:dyDescent="0.3">
      <c r="U152" s="8"/>
      <c r="V152" s="8"/>
      <c r="W152" s="8"/>
      <c r="X152" s="8"/>
      <c r="Y152" s="9"/>
    </row>
    <row r="153" spans="21:25" x14ac:dyDescent="0.3">
      <c r="U153" s="8"/>
      <c r="V153" s="8"/>
      <c r="W153" s="8"/>
      <c r="X153" s="8"/>
      <c r="Y153" s="9"/>
    </row>
    <row r="154" spans="21:25" x14ac:dyDescent="0.3">
      <c r="U154" s="8"/>
      <c r="V154" s="8"/>
      <c r="W154" s="8"/>
      <c r="X154" s="8"/>
      <c r="Y154" s="9"/>
    </row>
    <row r="155" spans="21:25" x14ac:dyDescent="0.3">
      <c r="U155" s="8"/>
      <c r="V155" s="8"/>
      <c r="W155" s="8"/>
      <c r="X155" s="8"/>
      <c r="Y155" s="9"/>
    </row>
    <row r="156" spans="21:25" x14ac:dyDescent="0.3">
      <c r="U156" s="8"/>
      <c r="V156" s="8"/>
      <c r="W156" s="8"/>
      <c r="X156" s="8"/>
      <c r="Y156" s="9"/>
    </row>
    <row r="157" spans="21:25" x14ac:dyDescent="0.3">
      <c r="U157" s="8"/>
      <c r="V157" s="8"/>
      <c r="W157" s="8"/>
      <c r="X157" s="8"/>
      <c r="Y157" s="9"/>
    </row>
    <row r="158" spans="21:25" x14ac:dyDescent="0.3">
      <c r="U158" s="8"/>
      <c r="V158" s="8"/>
      <c r="W158" s="8"/>
      <c r="X158" s="8"/>
      <c r="Y158" s="9"/>
    </row>
    <row r="159" spans="21:25" x14ac:dyDescent="0.3">
      <c r="U159" s="8"/>
      <c r="V159" s="8"/>
      <c r="W159" s="8"/>
      <c r="X159" s="8"/>
      <c r="Y159" s="9"/>
    </row>
    <row r="160" spans="21:25" x14ac:dyDescent="0.3">
      <c r="U160" s="8"/>
      <c r="V160" s="8"/>
      <c r="W160" s="8"/>
      <c r="X160" s="8"/>
      <c r="Y160" s="9"/>
    </row>
    <row r="161" spans="21:25" x14ac:dyDescent="0.3">
      <c r="U161" s="8"/>
      <c r="V161" s="8"/>
      <c r="W161" s="8"/>
      <c r="X161" s="8"/>
      <c r="Y161" s="9"/>
    </row>
    <row r="162" spans="21:25" x14ac:dyDescent="0.3">
      <c r="U162" s="8"/>
      <c r="V162" s="8"/>
      <c r="W162" s="8"/>
      <c r="X162" s="8"/>
      <c r="Y162" s="9"/>
    </row>
    <row r="163" spans="21:25" x14ac:dyDescent="0.3">
      <c r="U163" s="8"/>
      <c r="V163" s="8"/>
      <c r="W163" s="8"/>
      <c r="X163" s="8"/>
      <c r="Y163" s="9"/>
    </row>
    <row r="164" spans="21:25" x14ac:dyDescent="0.3">
      <c r="U164" s="8"/>
      <c r="V164" s="8"/>
      <c r="W164" s="8"/>
      <c r="X164" s="8"/>
      <c r="Y164" s="9"/>
    </row>
    <row r="165" spans="21:25" x14ac:dyDescent="0.3">
      <c r="U165" s="8"/>
      <c r="V165" s="8"/>
      <c r="W165" s="8"/>
      <c r="X165" s="8"/>
      <c r="Y165" s="9"/>
    </row>
    <row r="166" spans="21:25" x14ac:dyDescent="0.3">
      <c r="U166" s="8"/>
      <c r="V166" s="8"/>
      <c r="W166" s="8"/>
      <c r="X166" s="8"/>
      <c r="Y166" s="9"/>
    </row>
    <row r="167" spans="21:25" x14ac:dyDescent="0.3">
      <c r="U167" s="8"/>
      <c r="V167" s="8"/>
      <c r="W167" s="8"/>
      <c r="X167" s="8"/>
      <c r="Y167" s="9"/>
    </row>
    <row r="168" spans="21:25" x14ac:dyDescent="0.3">
      <c r="U168" s="8"/>
      <c r="V168" s="8"/>
      <c r="W168" s="8"/>
      <c r="X168" s="8"/>
      <c r="Y168" s="9"/>
    </row>
    <row r="169" spans="21:25" x14ac:dyDescent="0.3">
      <c r="U169" s="8"/>
      <c r="V169" s="8"/>
      <c r="W169" s="8"/>
      <c r="X169" s="8"/>
      <c r="Y169" s="9"/>
    </row>
    <row r="170" spans="21:25" x14ac:dyDescent="0.3">
      <c r="U170" s="8"/>
      <c r="V170" s="8"/>
      <c r="W170" s="8"/>
      <c r="X170" s="8"/>
      <c r="Y170" s="9"/>
    </row>
    <row r="171" spans="21:25" x14ac:dyDescent="0.3">
      <c r="U171" s="8"/>
      <c r="V171" s="8"/>
      <c r="W171" s="8"/>
      <c r="X171" s="8"/>
      <c r="Y171" s="9"/>
    </row>
    <row r="172" spans="21:25" x14ac:dyDescent="0.3">
      <c r="U172" s="8"/>
      <c r="V172" s="8"/>
      <c r="W172" s="8"/>
      <c r="X172" s="8"/>
      <c r="Y172" s="9"/>
    </row>
    <row r="173" spans="21:25" x14ac:dyDescent="0.3">
      <c r="U173" s="8"/>
      <c r="V173" s="8"/>
      <c r="W173" s="8"/>
      <c r="X173" s="8"/>
      <c r="Y173" s="9"/>
    </row>
    <row r="174" spans="21:25" x14ac:dyDescent="0.3">
      <c r="U174" s="8"/>
      <c r="V174" s="8"/>
      <c r="W174" s="8"/>
      <c r="X174" s="8"/>
      <c r="Y174" s="9"/>
    </row>
    <row r="175" spans="21:25" x14ac:dyDescent="0.3">
      <c r="U175" s="8"/>
      <c r="V175" s="8"/>
      <c r="W175" s="8"/>
      <c r="X175" s="8"/>
      <c r="Y175" s="9"/>
    </row>
    <row r="176" spans="21:25" x14ac:dyDescent="0.3">
      <c r="U176" s="8"/>
      <c r="V176" s="8"/>
      <c r="W176" s="8"/>
      <c r="X176" s="8"/>
      <c r="Y176" s="9"/>
    </row>
    <row r="177" spans="21:25" x14ac:dyDescent="0.3">
      <c r="U177" s="8"/>
      <c r="V177" s="8"/>
      <c r="W177" s="8"/>
      <c r="X177" s="8"/>
      <c r="Y177" s="9"/>
    </row>
    <row r="178" spans="21:25" x14ac:dyDescent="0.3">
      <c r="U178" s="8"/>
      <c r="V178" s="8"/>
      <c r="W178" s="8"/>
      <c r="X178" s="8"/>
      <c r="Y178" s="9"/>
    </row>
    <row r="179" spans="21:25" x14ac:dyDescent="0.3">
      <c r="U179" s="8"/>
      <c r="V179" s="8"/>
      <c r="W179" s="8"/>
      <c r="X179" s="8"/>
      <c r="Y179" s="9"/>
    </row>
    <row r="180" spans="21:25" x14ac:dyDescent="0.3">
      <c r="U180" s="8"/>
      <c r="V180" s="8"/>
      <c r="W180" s="8"/>
      <c r="X180" s="8"/>
      <c r="Y180" s="9"/>
    </row>
    <row r="181" spans="21:25" x14ac:dyDescent="0.3">
      <c r="U181" s="8"/>
      <c r="V181" s="8"/>
      <c r="W181" s="8"/>
      <c r="X181" s="8"/>
      <c r="Y181" s="9"/>
    </row>
    <row r="182" spans="21:25" x14ac:dyDescent="0.3">
      <c r="U182" s="8"/>
      <c r="V182" s="8"/>
      <c r="W182" s="8"/>
      <c r="X182" s="8"/>
      <c r="Y182" s="9"/>
    </row>
    <row r="183" spans="21:25" x14ac:dyDescent="0.3">
      <c r="U183" s="8"/>
      <c r="V183" s="8"/>
      <c r="W183" s="8"/>
      <c r="X183" s="8"/>
      <c r="Y183" s="9"/>
    </row>
    <row r="184" spans="21:25" x14ac:dyDescent="0.3">
      <c r="U184" s="8"/>
      <c r="V184" s="8"/>
      <c r="W184" s="8"/>
      <c r="X184" s="8"/>
      <c r="Y184" s="9"/>
    </row>
    <row r="185" spans="21:25" x14ac:dyDescent="0.3">
      <c r="U185" s="8"/>
      <c r="V185" s="8"/>
      <c r="W185" s="8"/>
      <c r="X185" s="8"/>
      <c r="Y185" s="9"/>
    </row>
    <row r="186" spans="21:25" x14ac:dyDescent="0.3">
      <c r="U186" s="8"/>
      <c r="V186" s="8"/>
      <c r="W186" s="8"/>
      <c r="X186" s="8"/>
      <c r="Y186" s="9"/>
    </row>
    <row r="187" spans="21:25" x14ac:dyDescent="0.3">
      <c r="U187" s="8"/>
      <c r="V187" s="8"/>
      <c r="W187" s="8"/>
      <c r="X187" s="8"/>
      <c r="Y187" s="9"/>
    </row>
    <row r="188" spans="21:25" x14ac:dyDescent="0.3">
      <c r="U188" s="8"/>
      <c r="V188" s="8"/>
      <c r="W188" s="8"/>
      <c r="X188" s="8"/>
      <c r="Y188" s="9"/>
    </row>
    <row r="189" spans="21:25" x14ac:dyDescent="0.3">
      <c r="U189" s="8"/>
      <c r="V189" s="8"/>
      <c r="W189" s="8"/>
      <c r="X189" s="8"/>
      <c r="Y189" s="9"/>
    </row>
    <row r="190" spans="21:25" x14ac:dyDescent="0.3">
      <c r="U190" s="10"/>
      <c r="V190" s="10"/>
      <c r="W190" s="10"/>
      <c r="X190" s="10"/>
      <c r="Y190" s="30"/>
    </row>
    <row r="191" spans="21:25" x14ac:dyDescent="0.3">
      <c r="U191" s="8"/>
      <c r="V191" s="8"/>
      <c r="W191" s="8"/>
      <c r="X191" s="8"/>
      <c r="Y191" s="9"/>
    </row>
    <row r="192" spans="21:25" x14ac:dyDescent="0.3">
      <c r="U192" s="8"/>
      <c r="V192" s="8"/>
      <c r="W192" s="8"/>
      <c r="X192" s="8"/>
      <c r="Y192" s="9"/>
    </row>
    <row r="193" spans="21:25" x14ac:dyDescent="0.3">
      <c r="U193" s="8"/>
      <c r="V193" s="8"/>
      <c r="W193" s="8"/>
      <c r="X193" s="8"/>
      <c r="Y193" s="9"/>
    </row>
    <row r="194" spans="21:25" x14ac:dyDescent="0.3">
      <c r="U194" s="8"/>
      <c r="V194" s="8"/>
      <c r="W194" s="8"/>
      <c r="X194" s="8"/>
      <c r="Y194" s="9"/>
    </row>
    <row r="195" spans="21:25" x14ac:dyDescent="0.3">
      <c r="U195" s="8"/>
      <c r="V195" s="8"/>
      <c r="W195" s="8"/>
      <c r="X195" s="8"/>
      <c r="Y195" s="9"/>
    </row>
    <row r="196" spans="21:25" x14ac:dyDescent="0.3">
      <c r="U196" s="8"/>
      <c r="V196" s="8"/>
      <c r="W196" s="8"/>
      <c r="X196" s="8"/>
      <c r="Y196" s="9"/>
    </row>
    <row r="197" spans="21:25" x14ac:dyDescent="0.3">
      <c r="U197" s="8"/>
      <c r="V197" s="8"/>
      <c r="W197" s="8"/>
      <c r="X197" s="8"/>
      <c r="Y197" s="9"/>
    </row>
    <row r="198" spans="21:25" x14ac:dyDescent="0.3">
      <c r="U198" s="8"/>
      <c r="V198" s="8"/>
      <c r="W198" s="8"/>
      <c r="X198" s="8"/>
      <c r="Y198" s="9"/>
    </row>
    <row r="199" spans="21:25" x14ac:dyDescent="0.3">
      <c r="U199" s="8"/>
      <c r="V199" s="8"/>
      <c r="W199" s="8"/>
      <c r="X199" s="8"/>
      <c r="Y199" s="9"/>
    </row>
    <row r="200" spans="21:25" x14ac:dyDescent="0.3">
      <c r="U200" s="8"/>
      <c r="V200" s="8"/>
      <c r="W200" s="8"/>
      <c r="X200" s="8"/>
      <c r="Y200" s="9"/>
    </row>
    <row r="201" spans="21:25" x14ac:dyDescent="0.3">
      <c r="U201" s="8"/>
      <c r="V201" s="8"/>
      <c r="W201" s="8"/>
      <c r="X201" s="8"/>
      <c r="Y201" s="9"/>
    </row>
    <row r="202" spans="21:25" x14ac:dyDescent="0.3">
      <c r="U202" s="8"/>
      <c r="V202" s="8"/>
      <c r="W202" s="8"/>
      <c r="X202" s="8"/>
      <c r="Y202" s="9"/>
    </row>
    <row r="203" spans="21:25" x14ac:dyDescent="0.3">
      <c r="U203" s="8"/>
      <c r="V203" s="8"/>
      <c r="W203" s="8"/>
      <c r="X203" s="8"/>
      <c r="Y203" s="9"/>
    </row>
    <row r="204" spans="21:25" x14ac:dyDescent="0.3">
      <c r="U204" s="8"/>
      <c r="V204" s="8"/>
      <c r="W204" s="8"/>
      <c r="X204" s="8"/>
      <c r="Y204" s="9"/>
    </row>
    <row r="205" spans="21:25" x14ac:dyDescent="0.3">
      <c r="U205" s="8"/>
      <c r="V205" s="8"/>
      <c r="W205" s="8"/>
      <c r="X205" s="8"/>
      <c r="Y205" s="9"/>
    </row>
    <row r="206" spans="21:25" x14ac:dyDescent="0.3">
      <c r="U206" s="8"/>
      <c r="V206" s="8"/>
      <c r="W206" s="8"/>
      <c r="X206" s="8"/>
      <c r="Y206" s="9"/>
    </row>
    <row r="207" spans="21:25" x14ac:dyDescent="0.3">
      <c r="U207" s="8"/>
      <c r="V207" s="8"/>
      <c r="W207" s="8"/>
      <c r="X207" s="8"/>
      <c r="Y207" s="9"/>
    </row>
    <row r="208" spans="21:25" x14ac:dyDescent="0.3">
      <c r="U208" s="8"/>
      <c r="V208" s="8"/>
      <c r="W208" s="8"/>
      <c r="X208" s="8"/>
      <c r="Y208" s="9"/>
    </row>
    <row r="209" spans="21:25" x14ac:dyDescent="0.3">
      <c r="U209" s="8"/>
      <c r="V209" s="8"/>
      <c r="W209" s="8"/>
      <c r="X209" s="8"/>
      <c r="Y209" s="9"/>
    </row>
    <row r="210" spans="21:25" x14ac:dyDescent="0.3">
      <c r="U210" s="8"/>
      <c r="V210" s="8"/>
      <c r="W210" s="8"/>
      <c r="X210" s="8"/>
      <c r="Y210" s="9"/>
    </row>
    <row r="211" spans="21:25" x14ac:dyDescent="0.3">
      <c r="U211" s="8"/>
      <c r="V211" s="8"/>
      <c r="W211" s="8"/>
      <c r="X211" s="8"/>
      <c r="Y211" s="9"/>
    </row>
    <row r="212" spans="21:25" x14ac:dyDescent="0.3">
      <c r="U212" s="8"/>
      <c r="V212" s="8"/>
      <c r="W212" s="8"/>
      <c r="X212" s="8"/>
      <c r="Y212" s="9"/>
    </row>
    <row r="213" spans="21:25" x14ac:dyDescent="0.3">
      <c r="U213" s="8"/>
      <c r="V213" s="8"/>
      <c r="W213" s="8"/>
      <c r="X213" s="8"/>
      <c r="Y213" s="9"/>
    </row>
    <row r="214" spans="21:25" x14ac:dyDescent="0.3">
      <c r="U214" s="8"/>
      <c r="V214" s="8"/>
      <c r="W214" s="8"/>
      <c r="X214" s="8"/>
      <c r="Y214" s="9"/>
    </row>
    <row r="215" spans="21:25" x14ac:dyDescent="0.3">
      <c r="U215" s="8"/>
      <c r="V215" s="8"/>
      <c r="W215" s="8"/>
      <c r="X215" s="8"/>
      <c r="Y215" s="9"/>
    </row>
    <row r="216" spans="21:25" x14ac:dyDescent="0.3">
      <c r="U216" s="8"/>
      <c r="V216" s="8"/>
      <c r="W216" s="8"/>
      <c r="X216" s="8"/>
      <c r="Y216" s="9"/>
    </row>
    <row r="217" spans="21:25" x14ac:dyDescent="0.3">
      <c r="U217" s="8"/>
      <c r="V217" s="8"/>
      <c r="W217" s="8"/>
      <c r="X217" s="8"/>
      <c r="Y217" s="9"/>
    </row>
    <row r="218" spans="21:25" x14ac:dyDescent="0.3">
      <c r="U218" s="8"/>
      <c r="V218" s="8"/>
      <c r="W218" s="8"/>
      <c r="X218" s="8"/>
      <c r="Y218" s="9"/>
    </row>
    <row r="219" spans="21:25" x14ac:dyDescent="0.3">
      <c r="U219" s="8"/>
      <c r="V219" s="8"/>
      <c r="W219" s="8"/>
      <c r="X219" s="8"/>
      <c r="Y219" s="9"/>
    </row>
    <row r="220" spans="21:25" x14ac:dyDescent="0.3">
      <c r="U220" s="8"/>
      <c r="V220" s="8"/>
      <c r="W220" s="8"/>
      <c r="X220" s="8"/>
      <c r="Y220" s="9"/>
    </row>
    <row r="221" spans="21:25" x14ac:dyDescent="0.3">
      <c r="U221" s="8"/>
      <c r="V221" s="8"/>
      <c r="W221" s="8"/>
      <c r="X221" s="8"/>
      <c r="Y221" s="9"/>
    </row>
    <row r="222" spans="21:25" x14ac:dyDescent="0.3">
      <c r="U222" s="8"/>
      <c r="V222" s="8"/>
      <c r="W222" s="8"/>
      <c r="X222" s="8"/>
      <c r="Y222" s="9"/>
    </row>
    <row r="223" spans="21:25" x14ac:dyDescent="0.3">
      <c r="U223" s="8"/>
      <c r="V223" s="8"/>
      <c r="W223" s="8"/>
      <c r="X223" s="8"/>
      <c r="Y223" s="9"/>
    </row>
    <row r="224" spans="21:25" x14ac:dyDescent="0.3">
      <c r="U224" s="8"/>
      <c r="V224" s="8"/>
      <c r="W224" s="8"/>
      <c r="X224" s="8"/>
      <c r="Y224" s="9"/>
    </row>
    <row r="225" spans="21:25" x14ac:dyDescent="0.3">
      <c r="U225" s="8"/>
      <c r="V225" s="8"/>
      <c r="W225" s="8"/>
      <c r="X225" s="8"/>
      <c r="Y225" s="9"/>
    </row>
    <row r="226" spans="21:25" x14ac:dyDescent="0.3">
      <c r="U226" s="8"/>
      <c r="V226" s="8"/>
      <c r="W226" s="8"/>
      <c r="X226" s="8"/>
      <c r="Y226" s="9"/>
    </row>
    <row r="227" spans="21:25" x14ac:dyDescent="0.3">
      <c r="U227" s="8"/>
      <c r="V227" s="8"/>
      <c r="W227" s="8"/>
      <c r="X227" s="8"/>
      <c r="Y227" s="9"/>
    </row>
    <row r="228" spans="21:25" x14ac:dyDescent="0.3">
      <c r="U228" s="8"/>
      <c r="V228" s="8"/>
      <c r="W228" s="8"/>
      <c r="X228" s="8"/>
      <c r="Y228" s="9"/>
    </row>
    <row r="229" spans="21:25" x14ac:dyDescent="0.3">
      <c r="U229" s="8"/>
      <c r="V229" s="8"/>
      <c r="W229" s="8"/>
      <c r="X229" s="8"/>
      <c r="Y229" s="9"/>
    </row>
    <row r="230" spans="21:25" x14ac:dyDescent="0.3">
      <c r="U230" s="8"/>
      <c r="V230" s="8"/>
      <c r="W230" s="8"/>
      <c r="X230" s="8"/>
      <c r="Y230" s="9"/>
    </row>
    <row r="231" spans="21:25" x14ac:dyDescent="0.3">
      <c r="U231" s="10"/>
      <c r="V231" s="10"/>
      <c r="W231" s="10"/>
      <c r="X231" s="10"/>
      <c r="Y231" s="28"/>
    </row>
    <row r="232" spans="21:25" x14ac:dyDescent="0.3">
      <c r="U232" s="8"/>
      <c r="V232" s="8"/>
      <c r="W232" s="8"/>
      <c r="X232" s="8"/>
      <c r="Y232" s="9"/>
    </row>
    <row r="233" spans="21:25" x14ac:dyDescent="0.3">
      <c r="U233" s="8"/>
      <c r="V233" s="8"/>
      <c r="W233" s="8"/>
      <c r="X233" s="8"/>
      <c r="Y233" s="9"/>
    </row>
    <row r="234" spans="21:25" x14ac:dyDescent="0.3">
      <c r="U234" s="8"/>
      <c r="V234" s="8"/>
      <c r="W234" s="8"/>
      <c r="X234" s="8"/>
      <c r="Y234" s="9"/>
    </row>
    <row r="235" spans="21:25" x14ac:dyDescent="0.3">
      <c r="U235" s="8"/>
      <c r="V235" s="8"/>
      <c r="W235" s="8"/>
      <c r="X235" s="8"/>
      <c r="Y235" s="9"/>
    </row>
    <row r="236" spans="21:25" x14ac:dyDescent="0.3">
      <c r="U236" s="8"/>
      <c r="V236" s="8"/>
      <c r="W236" s="8"/>
      <c r="X236" s="8"/>
      <c r="Y236" s="9"/>
    </row>
    <row r="237" spans="21:25" x14ac:dyDescent="0.3">
      <c r="U237" s="8"/>
      <c r="V237" s="8"/>
      <c r="W237" s="8"/>
      <c r="X237" s="8"/>
      <c r="Y237" s="9"/>
    </row>
    <row r="238" spans="21:25" x14ac:dyDescent="0.3">
      <c r="U238" s="8"/>
      <c r="V238" s="8"/>
      <c r="W238" s="8"/>
      <c r="X238" s="8"/>
      <c r="Y238" s="9"/>
    </row>
    <row r="239" spans="21:25" x14ac:dyDescent="0.3">
      <c r="U239" s="8"/>
      <c r="V239" s="8"/>
      <c r="W239" s="8"/>
      <c r="X239" s="8"/>
      <c r="Y239" s="9"/>
    </row>
    <row r="240" spans="21:25" x14ac:dyDescent="0.3">
      <c r="U240" s="8"/>
      <c r="V240" s="8"/>
      <c r="W240" s="8"/>
      <c r="X240" s="8"/>
      <c r="Y240" s="9"/>
    </row>
    <row r="241" spans="21:25" x14ac:dyDescent="0.3">
      <c r="U241" s="10"/>
      <c r="V241" s="10"/>
      <c r="W241" s="10"/>
      <c r="X241" s="10"/>
      <c r="Y241" s="28"/>
    </row>
  </sheetData>
  <phoneticPr fontId="1" type="noConversion"/>
  <conditionalFormatting sqref="A5">
    <cfRule type="expression" dxfId="1" priority="2">
      <formula>$A5 &lt;&gt; ""</formula>
    </cfRule>
  </conditionalFormatting>
  <conditionalFormatting sqref="A5">
    <cfRule type="expression" dxfId="0" priority="1">
      <formula>$F5</formula>
    </cfRule>
  </conditionalFormatting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이름이 지정된 범위</vt:lpstr>
      </vt:variant>
      <vt:variant>
        <vt:i4>8</vt:i4>
      </vt:variant>
    </vt:vector>
  </HeadingPairs>
  <TitlesOfParts>
    <vt:vector size="20" baseType="lpstr">
      <vt:lpstr>메인</vt:lpstr>
      <vt:lpstr>회원</vt:lpstr>
      <vt:lpstr>카테고리</vt:lpstr>
      <vt:lpstr>상품</vt:lpstr>
      <vt:lpstr>관심상품</vt:lpstr>
      <vt:lpstr>구매내역</vt:lpstr>
      <vt:lpstr>평가</vt:lpstr>
      <vt:lpstr>지역 시트</vt:lpstr>
      <vt:lpstr>거래분석</vt:lpstr>
      <vt:lpstr>인기상품</vt:lpstr>
      <vt:lpstr>회원분석</vt:lpstr>
      <vt:lpstr>자료처리</vt:lpstr>
      <vt:lpstr>자료처리!Criteria</vt:lpstr>
      <vt:lpstr>인기상품!Extract</vt:lpstr>
      <vt:lpstr>자료처리!Extract</vt:lpstr>
      <vt:lpstr>관심여부</vt:lpstr>
      <vt:lpstr>번호</vt:lpstr>
      <vt:lpstr>상품번호</vt:lpstr>
      <vt:lpstr>수정상품</vt:lpstr>
      <vt:lpstr>평가번호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itskills1</dc:creator>
  <cp:lastModifiedBy>itskills1</cp:lastModifiedBy>
  <dcterms:created xsi:type="dcterms:W3CDTF">2022-07-15T07:30:18Z</dcterms:created>
  <dcterms:modified xsi:type="dcterms:W3CDTF">2022-07-19T04:07:03Z</dcterms:modified>
</cp:coreProperties>
</file>