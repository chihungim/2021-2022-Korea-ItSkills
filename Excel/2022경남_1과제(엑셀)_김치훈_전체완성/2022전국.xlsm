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2.xml" ContentType="application/vnd.ms-office.activeX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3.xml" ContentType="application/vnd.ms-office.activeX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20.xml" ContentType="application/vnd.ms-office.activeX+xml"/>
  <Override PartName="/xl/tables/table5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21.xml" ContentType="application/vnd.ms-office.activeX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22.xml" ContentType="application/vnd.ms-office.activeX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40일 공개과제\경남\1차\"/>
    </mc:Choice>
  </mc:AlternateContent>
  <bookViews>
    <workbookView xWindow="0" yWindow="0" windowWidth="28800" windowHeight="12255"/>
  </bookViews>
  <sheets>
    <sheet name="메인" sheetId="1" r:id="rId1"/>
    <sheet name="학생" sheetId="2" r:id="rId2"/>
    <sheet name="강사" sheetId="3" r:id="rId3"/>
    <sheet name="학교" sheetId="4" r:id="rId4"/>
    <sheet name="강의" sheetId="5" r:id="rId5"/>
    <sheet name="강의교재" sheetId="9" r:id="rId6"/>
    <sheet name="강의 신청 및 결제 내역" sheetId="6" r:id="rId7"/>
    <sheet name="교재내역" sheetId="7" r:id="rId8"/>
    <sheet name="자료처리" sheetId="8" state="hidden" r:id="rId9"/>
  </sheets>
  <definedNames>
    <definedName name="_xlnm._FilterDatabase" localSheetId="6" hidden="1">'강의 신청 및 결제 내역'!$A$1:$K$101</definedName>
    <definedName name="_xlnm._FilterDatabase" localSheetId="7" hidden="1">교재내역!$A$1:$D$34</definedName>
    <definedName name="_xlnm._FilterDatabase" localSheetId="1" hidden="1">학생!$A$1:$M$31</definedName>
    <definedName name="_xlcn.LinkedTable_표21" hidden="1">표2[]</definedName>
    <definedName name="_xlcn.LinkedTable_표41" hidden="1">표4[]</definedName>
    <definedName name="_xlcn.LinkedTable_표61" hidden="1">표6[]</definedName>
    <definedName name="_xlcn.LinkedTable_표81" hidden="1">표8[]</definedName>
    <definedName name="_xlnm.Criteria" localSheetId="6">'강의 신청 및 결제 내역'!$N$1:$N$2</definedName>
    <definedName name="_xlnm.Criteria" localSheetId="7">교재내역!$G$1:$G$2</definedName>
    <definedName name="_xlnm.Extract" localSheetId="1">학생!$P$1:$R$1</definedName>
    <definedName name="과학">자료처리!$AG$1:$AG$4</definedName>
    <definedName name="국어">자료처리!$AB$1:$AB$5</definedName>
    <definedName name="번호">자료처리!$A$1</definedName>
    <definedName name="사회">자료처리!$AF$1:$AF$4</definedName>
    <definedName name="선택강의">자료처리!$AM$1</definedName>
    <definedName name="선택교재">자료처리!$AL$1</definedName>
    <definedName name="선택신청">자료처리!$AN$1</definedName>
    <definedName name="수학">자료처리!$AC$1:$AC$4</definedName>
    <definedName name="역사">자료처리!$AE$1:$AE$3</definedName>
    <definedName name="영어">자료처리!$AD$1:$AD$4</definedName>
    <definedName name="전체">자료처리!$AJ$1</definedName>
    <definedName name="제2외국어">자료처리!$AI$1:$AI$4</definedName>
    <definedName name="직업">자료처리!$AH$1:$AH$4</definedName>
    <definedName name="타입">자료처리!$A$2</definedName>
  </definedNames>
  <calcPr calcId="162913"/>
  <pivotCaches>
    <pivotCache cacheId="72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표8" name="표8" connection="LinkedTable_ 표8"/>
          <x15:modelTable id="표6" name="표6" connection="LinkedTable_ 표6"/>
          <x15:modelTable id="표4" name="표4" connection="LinkedTable_ 표4"/>
          <x15:modelTable id="표2" name="표2" connection="LinkedTable_ 표2"/>
        </x15:modelTables>
        <x15:modelRelationships>
          <x15:modelRelationship fromTable="표6" fromColumn="강의번호" toTable="표4" toColumn="번호"/>
          <x15:modelRelationship fromTable="표2" fromColumn="과목" toTable="표8" toColumn="코드"/>
          <x15:modelRelationship fromTable="표4" fromColumn="강사번호" toTable="표2" toColumn="번호"/>
        </x15:modelRelationships>
      </x15:dataModel>
    </ext>
  </extLst>
</workbook>
</file>

<file path=xl/calcChain.xml><?xml version="1.0" encoding="utf-8"?>
<calcChain xmlns="http://schemas.openxmlformats.org/spreadsheetml/2006/main">
  <c r="I1" i="8" l="1"/>
  <c r="P1" i="6" l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V1" i="8" l="1"/>
  <c r="K2" i="6" l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J2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C1" i="8"/>
  <c r="D1" i="8"/>
  <c r="E1" i="8"/>
  <c r="F1" i="8"/>
  <c r="G1" i="8"/>
  <c r="H1" i="8"/>
  <c r="A2" i="8" s="1"/>
  <c r="G2" i="7" s="1"/>
  <c r="J1" i="8"/>
  <c r="K1" i="8"/>
  <c r="B1" i="8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3" i="2"/>
  <c r="L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M1" i="8" l="1"/>
  <c r="L1" i="8"/>
  <c r="N2" i="6"/>
</calcChain>
</file>

<file path=xl/connections.xml><?xml version="1.0" encoding="utf-8"?>
<connections xmlns="http://schemas.openxmlformats.org/spreadsheetml/2006/main">
  <connection id="1" name="LinkedTable_ 표2" type="102" refreshedVersion="6" minRefreshableVersion="5">
    <extLst>
      <ext xmlns:x15="http://schemas.microsoft.com/office/spreadsheetml/2010/11/main" uri="{DE250136-89BD-433C-8126-D09CA5730AF9}">
        <x15:connection id="표2">
          <x15:rangePr sourceName="_xlcn.LinkedTable_표21"/>
        </x15:connection>
      </ext>
    </extLst>
  </connection>
  <connection id="2" name="LinkedTable_ 표4" type="102" refreshedVersion="6" minRefreshableVersion="5">
    <extLst>
      <ext xmlns:x15="http://schemas.microsoft.com/office/spreadsheetml/2010/11/main" uri="{DE250136-89BD-433C-8126-D09CA5730AF9}">
        <x15:connection id="표4">
          <x15:rangePr sourceName="_xlcn.LinkedTable_표41"/>
        </x15:connection>
      </ext>
    </extLst>
  </connection>
  <connection id="3" name="LinkedTable_ 표6" type="102" refreshedVersion="6" minRefreshableVersion="5">
    <extLst>
      <ext xmlns:x15="http://schemas.microsoft.com/office/spreadsheetml/2010/11/main" uri="{DE250136-89BD-433C-8126-D09CA5730AF9}">
        <x15:connection id="표6">
          <x15:rangePr sourceName="_xlcn.LinkedTable_표61"/>
        </x15:connection>
      </ext>
    </extLst>
  </connection>
  <connection id="4" name="LinkedTable_ 표8" type="102" refreshedVersion="6" minRefreshableVersion="5">
    <extLst>
      <ext xmlns:x15="http://schemas.microsoft.com/office/spreadsheetml/2010/11/main" uri="{DE250136-89BD-433C-8126-D09CA5730AF9}">
        <x15:connection id="표8">
          <x15:rangePr sourceName="_xlcn.LinkedTable_표81"/>
        </x15:connection>
      </ext>
    </extLst>
  </connection>
  <connection id="5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표6].[학년].[All]}"/>
    <s v="{[표8].[전체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<sst xmlns="http://schemas.openxmlformats.org/spreadsheetml/2006/main" count="3378" uniqueCount="2578">
  <si>
    <t>번호</t>
  </si>
  <si>
    <t>이름</t>
  </si>
  <si>
    <t>아이디</t>
  </si>
  <si>
    <t>비밀번호</t>
  </si>
  <si>
    <t>휴대폰</t>
  </si>
  <si>
    <t>이메일</t>
  </si>
  <si>
    <t>학교</t>
  </si>
  <si>
    <t>학년</t>
  </si>
  <si>
    <t>가입일</t>
  </si>
  <si>
    <t>포인트</t>
  </si>
  <si>
    <t>강보현</t>
  </si>
  <si>
    <t>rhdqn01</t>
  </si>
  <si>
    <t>010-1234-1234</t>
  </si>
  <si>
    <t>qwe123@naver.com</t>
  </si>
  <si>
    <t>강남고등학교</t>
  </si>
  <si>
    <t>차우인</t>
  </si>
  <si>
    <t>rhdqn02</t>
  </si>
  <si>
    <t>rhdqn02!</t>
  </si>
  <si>
    <t>010-1234-1235</t>
  </si>
  <si>
    <t>qwe124@naver.com</t>
  </si>
  <si>
    <t>다원고등학교</t>
  </si>
  <si>
    <t>도배만</t>
  </si>
  <si>
    <t>rhdqn03</t>
  </si>
  <si>
    <t>rhdqn03!</t>
  </si>
  <si>
    <t>010-1234-1236</t>
  </si>
  <si>
    <t>qwe125@naver.com</t>
  </si>
  <si>
    <t>세진고등학교</t>
  </si>
  <si>
    <t>구원영</t>
  </si>
  <si>
    <t>rhdqn04</t>
  </si>
  <si>
    <t>rhdqn04!</t>
  </si>
  <si>
    <t>010-1234-1237</t>
  </si>
  <si>
    <t>qwe126@naver.com</t>
  </si>
  <si>
    <t>김가을</t>
  </si>
  <si>
    <t>rhdqn05</t>
  </si>
  <si>
    <t>rhdqn05!</t>
  </si>
  <si>
    <t>010-1234-1238</t>
  </si>
  <si>
    <t>qwe127@naver.com</t>
  </si>
  <si>
    <t>아름고등학교</t>
  </si>
  <si>
    <t>민진영</t>
  </si>
  <si>
    <t>rhdqn06</t>
  </si>
  <si>
    <t>rhdqn06!</t>
  </si>
  <si>
    <t>010-1234-1239</t>
  </si>
  <si>
    <t>qwe128@naver.com</t>
  </si>
  <si>
    <t>라온고등학교</t>
  </si>
  <si>
    <t>김민서</t>
  </si>
  <si>
    <t>rhdqn07</t>
  </si>
  <si>
    <t>rhdqn07!</t>
  </si>
  <si>
    <t>010-1234-1240</t>
  </si>
  <si>
    <t>qwe129@naver.com</t>
  </si>
  <si>
    <t>은하고등학교</t>
  </si>
  <si>
    <t>김사은</t>
  </si>
  <si>
    <t>rhdqn08</t>
  </si>
  <si>
    <t>rhdqn08!</t>
  </si>
  <si>
    <t>010-1234-1241</t>
  </si>
  <si>
    <t>qwe130@naver.com</t>
  </si>
  <si>
    <t>지영우</t>
  </si>
  <si>
    <t>rhdqn09</t>
  </si>
  <si>
    <t>rhdqn09!</t>
  </si>
  <si>
    <t>010-1234-1242</t>
  </si>
  <si>
    <t>qwe131@naver.com</t>
  </si>
  <si>
    <t>이영지</t>
  </si>
  <si>
    <t>rhdqn10</t>
  </si>
  <si>
    <t>rhdqn10!</t>
  </si>
  <si>
    <t>010-1234-1243</t>
  </si>
  <si>
    <t>qwe132@naver.com</t>
  </si>
  <si>
    <t>푸름고등학교</t>
  </si>
  <si>
    <t>김도현</t>
  </si>
  <si>
    <t>rhdqn11</t>
  </si>
  <si>
    <t>rhdqn11!</t>
  </si>
  <si>
    <t>010-1234-1244</t>
  </si>
  <si>
    <t>qwe133@naver.com</t>
  </si>
  <si>
    <t>늘솔고등학교</t>
  </si>
  <si>
    <t>이유지</t>
  </si>
  <si>
    <t>rhdqn12</t>
  </si>
  <si>
    <t>rhdqn12!</t>
  </si>
  <si>
    <t>010-1234-1245</t>
  </si>
  <si>
    <t>qwe134@naver.com</t>
  </si>
  <si>
    <t>여울고등학교</t>
  </si>
  <si>
    <t>김정우</t>
  </si>
  <si>
    <t>rhdqn13</t>
  </si>
  <si>
    <t>rhdqn13!</t>
  </si>
  <si>
    <t>010-1234-1246</t>
  </si>
  <si>
    <t>qwe135@naver.com</t>
  </si>
  <si>
    <t>나리고등학교</t>
  </si>
  <si>
    <t>이민영</t>
  </si>
  <si>
    <t>rhdqn14</t>
  </si>
  <si>
    <t>rhdqn14!</t>
  </si>
  <si>
    <t>010-1234-1247</t>
  </si>
  <si>
    <t>qwe136@naver.com</t>
  </si>
  <si>
    <t>김소민</t>
  </si>
  <si>
    <t>rhdqn15</t>
  </si>
  <si>
    <t>rhdqn15!</t>
  </si>
  <si>
    <t>010-1234-1248</t>
  </si>
  <si>
    <t>qwe137@naver.com</t>
  </si>
  <si>
    <t>가람고등학교</t>
  </si>
  <si>
    <t>배연우</t>
  </si>
  <si>
    <t>rhdqn16</t>
  </si>
  <si>
    <t>rhdqn16!</t>
  </si>
  <si>
    <t>010-1234-1249</t>
  </si>
  <si>
    <t>qwe138@naver.com</t>
  </si>
  <si>
    <t>송현송</t>
  </si>
  <si>
    <t>rhdqn17</t>
  </si>
  <si>
    <t>rhdqn17!</t>
  </si>
  <si>
    <t>010-1234-1250</t>
  </si>
  <si>
    <t>qwe139@naver.com</t>
  </si>
  <si>
    <t>김가은</t>
  </si>
  <si>
    <t>rhdqn18</t>
  </si>
  <si>
    <t>rhdqn18!</t>
  </si>
  <si>
    <t>010-1234-1251</t>
  </si>
  <si>
    <t>qwe140@naver.com</t>
  </si>
  <si>
    <t>성지훈</t>
  </si>
  <si>
    <t>rhdqn19</t>
  </si>
  <si>
    <t>rhdqn19!</t>
  </si>
  <si>
    <t>010-1234-1252</t>
  </si>
  <si>
    <t>qwe141@naver.com</t>
  </si>
  <si>
    <t>마루고등학교</t>
  </si>
  <si>
    <t>차지율</t>
  </si>
  <si>
    <t>rhdqn20</t>
  </si>
  <si>
    <t>rhdqn20!</t>
  </si>
  <si>
    <t>010-1234-1253</t>
  </si>
  <si>
    <t>qwe142@naver.com</t>
  </si>
  <si>
    <t>최유림</t>
  </si>
  <si>
    <t>rhdqn21</t>
  </si>
  <si>
    <t>rhdqn21!</t>
  </si>
  <si>
    <t>010-1234-1254</t>
  </si>
  <si>
    <t>qwe143@naver.com</t>
  </si>
  <si>
    <t>민인하</t>
  </si>
  <si>
    <t>rhdqn22</t>
  </si>
  <si>
    <t>rhdqn22!</t>
  </si>
  <si>
    <t>010-1234-1255</t>
  </si>
  <si>
    <t>qwe144@naver.com</t>
  </si>
  <si>
    <t>해미고등학교</t>
  </si>
  <si>
    <t>구승현</t>
  </si>
  <si>
    <t>rhdqn23</t>
  </si>
  <si>
    <t>rhdqn23!</t>
  </si>
  <si>
    <t>010-1234-1256</t>
  </si>
  <si>
    <t>qwe145@naver.com</t>
  </si>
  <si>
    <t>해솔고등학교</t>
  </si>
  <si>
    <t>김범준</t>
  </si>
  <si>
    <t>rhdqn24</t>
  </si>
  <si>
    <t>rhdqn24!</t>
  </si>
  <si>
    <t>010-1234-1257</t>
  </si>
  <si>
    <t>qwe146@naver.com</t>
  </si>
  <si>
    <t>김경민</t>
  </si>
  <si>
    <t>rhdqn25</t>
  </si>
  <si>
    <t>rhdqn25!</t>
  </si>
  <si>
    <t>010-1234-1258</t>
  </si>
  <si>
    <t>qwe147@naver.com</t>
  </si>
  <si>
    <t>오현정</t>
  </si>
  <si>
    <t>rhdqn26</t>
  </si>
  <si>
    <t>rhdqn26!</t>
  </si>
  <si>
    <t>010-1234-1259</t>
  </si>
  <si>
    <t>qwe148@naver.com</t>
  </si>
  <si>
    <t>조예주</t>
  </si>
  <si>
    <t>rhdqn27</t>
  </si>
  <si>
    <t>rhdqn27!</t>
  </si>
  <si>
    <t>010-1234-1260</t>
  </si>
  <si>
    <t>qwe149@naver.com</t>
  </si>
  <si>
    <t>보예고등학교</t>
  </si>
  <si>
    <t>김하온</t>
  </si>
  <si>
    <t>rhdqn28</t>
  </si>
  <si>
    <t>rhdqn28!</t>
  </si>
  <si>
    <t>010-1234-1261</t>
  </si>
  <si>
    <t>qwe150@naver.com</t>
  </si>
  <si>
    <t>신하리</t>
  </si>
  <si>
    <t>rhdqn29</t>
  </si>
  <si>
    <t>rhdqn29!</t>
  </si>
  <si>
    <t>010-1234-1262</t>
  </si>
  <si>
    <t>qwe151@naver.com</t>
  </si>
  <si>
    <t>은새고등학교</t>
  </si>
  <si>
    <t>강태무</t>
  </si>
  <si>
    <t>rhdqn30</t>
  </si>
  <si>
    <t>rhdqn30!</t>
  </si>
  <si>
    <t>010-1234-1263</t>
  </si>
  <si>
    <t>qwe152@naver.com</t>
  </si>
  <si>
    <t>A001</t>
  </si>
  <si>
    <t>윤혜정</t>
  </si>
  <si>
    <t>tjstod01</t>
  </si>
  <si>
    <t>tjstod01!</t>
  </si>
  <si>
    <t>010-5678-5678</t>
  </si>
  <si>
    <t>yoon11@gmail.com</t>
  </si>
  <si>
    <t>A002</t>
  </si>
  <si>
    <t>김미성</t>
  </si>
  <si>
    <t>tjstod02</t>
  </si>
  <si>
    <t>tjstod02!</t>
  </si>
  <si>
    <t>010-5876-1234</t>
  </si>
  <si>
    <t>mimi12@naver.com</t>
  </si>
  <si>
    <t>A003</t>
  </si>
  <si>
    <t>남궁민</t>
  </si>
  <si>
    <t>tjstod06</t>
  </si>
  <si>
    <t>tjstod06!</t>
  </si>
  <si>
    <t>010-9494-8787</t>
  </si>
  <si>
    <t>vigung@empal.com</t>
  </si>
  <si>
    <t>B001</t>
  </si>
  <si>
    <t>정승제</t>
  </si>
  <si>
    <t>tjstod04</t>
  </si>
  <si>
    <t>tjstod04!</t>
  </si>
  <si>
    <t>010-7890-7890</t>
  </si>
  <si>
    <t>jae1234@naver.com</t>
  </si>
  <si>
    <t>B002</t>
  </si>
  <si>
    <t>남치열</t>
  </si>
  <si>
    <t>tjstod05</t>
  </si>
  <si>
    <t>tjstod05!</t>
  </si>
  <si>
    <t>010-1122-1122</t>
  </si>
  <si>
    <t>chiyy5780@skills.com</t>
  </si>
  <si>
    <t>B003</t>
  </si>
  <si>
    <t>김민성</t>
  </si>
  <si>
    <t>tjstod08</t>
  </si>
  <si>
    <t>tjstod08!</t>
  </si>
  <si>
    <t>010-2343-2342</t>
  </si>
  <si>
    <t>aicvc3286@naver.com</t>
  </si>
  <si>
    <t>C001</t>
  </si>
  <si>
    <t>주혜연</t>
  </si>
  <si>
    <t>tjstod03</t>
  </si>
  <si>
    <t>tjstod03!</t>
  </si>
  <si>
    <t>010-4567-4567</t>
  </si>
  <si>
    <t>juhaey987@naver.com</t>
  </si>
  <si>
    <t>C002</t>
  </si>
  <si>
    <t>정승익</t>
  </si>
  <si>
    <t>tjstod07</t>
  </si>
  <si>
    <t>tjstod07!</t>
  </si>
  <si>
    <t>010-4321-4529</t>
  </si>
  <si>
    <t>yic3285@naver.com</t>
  </si>
  <si>
    <t>C003</t>
  </si>
  <si>
    <t>조유정</t>
  </si>
  <si>
    <t>tjstod27</t>
  </si>
  <si>
    <t>tjstod27!</t>
  </si>
  <si>
    <t>010-2342-3244</t>
  </si>
  <si>
    <t>dbwjd@gmail.com</t>
  </si>
  <si>
    <t>D001</t>
  </si>
  <si>
    <t>지현창</t>
  </si>
  <si>
    <t>tjstod09</t>
  </si>
  <si>
    <t>tjstod09!</t>
  </si>
  <si>
    <t>010-6234-4232</t>
  </si>
  <si>
    <t>yisd2393@naver.com</t>
  </si>
  <si>
    <t>D002</t>
  </si>
  <si>
    <t>문준혁</t>
  </si>
  <si>
    <t>tjstod14</t>
  </si>
  <si>
    <t>tjstod14!</t>
  </si>
  <si>
    <t>010-4234-3422</t>
  </si>
  <si>
    <t>saddfs2433@naver.com</t>
  </si>
  <si>
    <t>D003</t>
  </si>
  <si>
    <t>김우인</t>
  </si>
  <si>
    <t>tjstod17</t>
  </si>
  <si>
    <t>tjstod17!</t>
  </si>
  <si>
    <t>010-6533-4233</t>
  </si>
  <si>
    <t>pwusn3493@naver.com</t>
  </si>
  <si>
    <t>E001</t>
  </si>
  <si>
    <t>김민우</t>
  </si>
  <si>
    <t>tjstod10</t>
  </si>
  <si>
    <t>tjstod10!</t>
  </si>
  <si>
    <t>010-2234-3241</t>
  </si>
  <si>
    <t>sdisd3493@naver.com</t>
  </si>
  <si>
    <t>E002</t>
  </si>
  <si>
    <t>김가연</t>
  </si>
  <si>
    <t>tjstod15</t>
  </si>
  <si>
    <t>tjstod15!</t>
  </si>
  <si>
    <t>010-4321-4530</t>
  </si>
  <si>
    <t>adnau2353@naver.com</t>
  </si>
  <si>
    <t>E003</t>
  </si>
  <si>
    <t>김연서</t>
  </si>
  <si>
    <t>tjstod20</t>
  </si>
  <si>
    <t>tjstod20!</t>
  </si>
  <si>
    <t>010-6345-3242</t>
  </si>
  <si>
    <t>sdks2389@naver.com</t>
  </si>
  <si>
    <t>F001</t>
  </si>
  <si>
    <t>강서예</t>
  </si>
  <si>
    <t>tjstod11</t>
  </si>
  <si>
    <t>tjstod11!</t>
  </si>
  <si>
    <t>010-2423-4332</t>
  </si>
  <si>
    <t>min2345@naver.com</t>
  </si>
  <si>
    <t>F002</t>
  </si>
  <si>
    <t>이지민</t>
  </si>
  <si>
    <t>tjstod19</t>
  </si>
  <si>
    <t>tjstod19!</t>
  </si>
  <si>
    <t>010-4321-4333</t>
  </si>
  <si>
    <t>sdfhjks2393@naver.com</t>
  </si>
  <si>
    <t>F003</t>
  </si>
  <si>
    <t>구민재</t>
  </si>
  <si>
    <t>tjstod21</t>
  </si>
  <si>
    <t>tjstod21!</t>
  </si>
  <si>
    <t>010-5453-2322</t>
  </si>
  <si>
    <t>wshj1235@naver.com</t>
  </si>
  <si>
    <t>G001</t>
  </si>
  <si>
    <t>김민정</t>
  </si>
  <si>
    <t>tjstod12</t>
  </si>
  <si>
    <t>tjstod12!</t>
  </si>
  <si>
    <t>010-6345-3241</t>
  </si>
  <si>
    <t>mian4323@naver.com</t>
  </si>
  <si>
    <t>G002</t>
  </si>
  <si>
    <t>이영선</t>
  </si>
  <si>
    <t>tjstod24</t>
  </si>
  <si>
    <t>tjstod24!</t>
  </si>
  <si>
    <t>010-6743-2344</t>
  </si>
  <si>
    <t>djkla1285@naver.com</t>
  </si>
  <si>
    <t>G003</t>
  </si>
  <si>
    <t>강인성</t>
  </si>
  <si>
    <t>tjstod13</t>
  </si>
  <si>
    <t>tjstod13!</t>
  </si>
  <si>
    <t>010-5453-2321</t>
  </si>
  <si>
    <t>siman2845@naver.com</t>
  </si>
  <si>
    <t>H001</t>
  </si>
  <si>
    <t>민우연</t>
  </si>
  <si>
    <t>tjstod25</t>
  </si>
  <si>
    <t>tjstod25!</t>
  </si>
  <si>
    <t>010-6533-4234</t>
  </si>
  <si>
    <t>kbjk1567@naver.com</t>
  </si>
  <si>
    <t>H002</t>
  </si>
  <si>
    <t>김영민</t>
  </si>
  <si>
    <t>tjstod22</t>
  </si>
  <si>
    <t>tjstod22!</t>
  </si>
  <si>
    <t>010-4234-3423</t>
  </si>
  <si>
    <t>dfjk3478@naver.com</t>
  </si>
  <si>
    <t>H003</t>
  </si>
  <si>
    <t>선영지</t>
  </si>
  <si>
    <t>tjstod23</t>
  </si>
  <si>
    <t>tjstod23!</t>
  </si>
  <si>
    <t>010-4321-4531</t>
  </si>
  <si>
    <t>sdjfk3490@naver.com</t>
  </si>
  <si>
    <t>분류</t>
  </si>
  <si>
    <t>학교명</t>
  </si>
  <si>
    <t>한미고등학교</t>
  </si>
  <si>
    <t>보람고등학교</t>
  </si>
  <si>
    <t>새론고등학교</t>
  </si>
  <si>
    <t>조은고등학교</t>
  </si>
  <si>
    <t>샛별고등학교</t>
  </si>
  <si>
    <t>진샘고등학교</t>
  </si>
  <si>
    <t>찬슬고등학교</t>
  </si>
  <si>
    <t>다빈고등학교</t>
  </si>
  <si>
    <t>강사번호</t>
  </si>
  <si>
    <t>교재번호</t>
  </si>
  <si>
    <t>강의명</t>
  </si>
  <si>
    <t>수강일</t>
  </si>
  <si>
    <t>금액</t>
  </si>
  <si>
    <t>AA1-01</t>
  </si>
  <si>
    <t>AA101,AA102,AA103</t>
  </si>
  <si>
    <t>고1 초특강 현대문학</t>
  </si>
  <si>
    <t>AA1-02</t>
  </si>
  <si>
    <t>AA103,AA105</t>
  </si>
  <si>
    <t>고1 초특강 고전 산문, 어서 오고!</t>
  </si>
  <si>
    <t>AA1-03</t>
  </si>
  <si>
    <t>AA102</t>
  </si>
  <si>
    <t>10CUT 고전소설</t>
  </si>
  <si>
    <t>AA1-04</t>
  </si>
  <si>
    <t>AA104,AA105</t>
  </si>
  <si>
    <t>5일만에 끝내버려 문학마스터!</t>
  </si>
  <si>
    <t>AA1-05</t>
  </si>
  <si>
    <t>2주만에 국어 미리보기</t>
  </si>
  <si>
    <t>AA2-01</t>
  </si>
  <si>
    <t>AA201,AA202,AA203</t>
  </si>
  <si>
    <t>고2 초특강 현대문학</t>
  </si>
  <si>
    <t>AA2-02</t>
  </si>
  <si>
    <t>AA204</t>
  </si>
  <si>
    <t>2023 새로운 기출 분석</t>
  </si>
  <si>
    <t>AA2-03</t>
  </si>
  <si>
    <t>AA201,AA203,AA204</t>
  </si>
  <si>
    <t>오늘도 맑음 내신특보</t>
  </si>
  <si>
    <t>AA2-04</t>
  </si>
  <si>
    <t>AA202,AA203</t>
  </si>
  <si>
    <t>2023 새로운 개출 분석 문학</t>
  </si>
  <si>
    <t>AA2-05</t>
  </si>
  <si>
    <t>AA203,AA204,AA205</t>
  </si>
  <si>
    <t>개념의 나비효과 워크북</t>
  </si>
  <si>
    <t>AA3-01</t>
  </si>
  <si>
    <t>AA301,AA302</t>
  </si>
  <si>
    <t>수능 국어의 본질을 이해하다</t>
  </si>
  <si>
    <t>AA3-02</t>
  </si>
  <si>
    <t>AA303,AA304,AA305,AA306</t>
  </si>
  <si>
    <t>AA3-03</t>
  </si>
  <si>
    <t>AA301,AA302,AA303,AA304</t>
  </si>
  <si>
    <t>수능 개념의 나비효과 입문편</t>
  </si>
  <si>
    <t>AA3-04</t>
  </si>
  <si>
    <t>AA302,AA304,AA305</t>
  </si>
  <si>
    <t>수능 국어의 본질을 체화하다</t>
  </si>
  <si>
    <t>AA3-05</t>
  </si>
  <si>
    <t>AA304,AA305,AA306,AA307</t>
  </si>
  <si>
    <t>고3 초특강 현대문학</t>
  </si>
  <si>
    <t>AB1-01</t>
  </si>
  <si>
    <t>AB101</t>
  </si>
  <si>
    <t>책 읽기 생초보 특강</t>
  </si>
  <si>
    <t>AB1-02</t>
  </si>
  <si>
    <t>AB101,AB102,AB103</t>
  </si>
  <si>
    <t>독서와 지적 호기심</t>
  </si>
  <si>
    <t>AB1-03</t>
  </si>
  <si>
    <t>AB101,AB103</t>
  </si>
  <si>
    <t>쉽게 하는 독서</t>
  </si>
  <si>
    <t>AB1-04</t>
  </si>
  <si>
    <t>AB104</t>
  </si>
  <si>
    <t>함께하는 고1 독서 연습</t>
  </si>
  <si>
    <t>AB1-05</t>
  </si>
  <si>
    <t>AB102,AB103,AB104,AB105</t>
  </si>
  <si>
    <t>국어 만점에 꼭 필요한 독해법</t>
  </si>
  <si>
    <t>AB2-01</t>
  </si>
  <si>
    <t>AB201,AB202,AB204</t>
  </si>
  <si>
    <t>독서 능력 확장 연습</t>
  </si>
  <si>
    <t>AB2-02</t>
  </si>
  <si>
    <t>AB203,AB204,AB205</t>
  </si>
  <si>
    <t>독서 활동을 위한 학과별 추천 도서</t>
  </si>
  <si>
    <t>AB2-03</t>
  </si>
  <si>
    <t>AB201,AB202,AB203</t>
  </si>
  <si>
    <t>누구나 쉽게 할 수 있는 고2 독서</t>
  </si>
  <si>
    <t>AB2-04</t>
  </si>
  <si>
    <t>AB205</t>
  </si>
  <si>
    <t>국어와 절친되기</t>
  </si>
  <si>
    <t>AB2-05</t>
  </si>
  <si>
    <t>AB201,AB203,AB205,AB206</t>
  </si>
  <si>
    <t>독서는 모든 공부의 만능 열쇠다</t>
  </si>
  <si>
    <t>AB3-01</t>
  </si>
  <si>
    <t>AB301,AB302</t>
  </si>
  <si>
    <t>[교과서 시험직전 요약] 국어</t>
  </si>
  <si>
    <t>AB3-02</t>
  </si>
  <si>
    <t>AB303,AB305</t>
  </si>
  <si>
    <t>2023 고난도 독서</t>
  </si>
  <si>
    <t>AB3-03</t>
  </si>
  <si>
    <t>AB301,AB305</t>
  </si>
  <si>
    <t>[2023 내신만점 수능특강] 독서</t>
  </si>
  <si>
    <t>AB3-04</t>
  </si>
  <si>
    <t>AB301</t>
  </si>
  <si>
    <t>수능 국어의 절대 명령</t>
  </si>
  <si>
    <t>AB3-05</t>
  </si>
  <si>
    <t>AB307</t>
  </si>
  <si>
    <t>책과 친해지기</t>
  </si>
  <si>
    <t>AC1-01</t>
  </si>
  <si>
    <t>AC101</t>
  </si>
  <si>
    <t>화법과 작문-복합 지문</t>
  </si>
  <si>
    <t>AC1-02</t>
  </si>
  <si>
    <t>AC105</t>
  </si>
  <si>
    <t>작문-글쓰기</t>
  </si>
  <si>
    <t>AC1-03</t>
  </si>
  <si>
    <t>AC102,AC103,AC104,AC105</t>
  </si>
  <si>
    <t>화작 통합, 작문</t>
  </si>
  <si>
    <t>AC1-04</t>
  </si>
  <si>
    <t>AC101,AB102,AC103</t>
  </si>
  <si>
    <t>기출 분석과 교재 학습 방향</t>
  </si>
  <si>
    <t>AC1-05</t>
  </si>
  <si>
    <t>AC102,AC105,AC106</t>
  </si>
  <si>
    <t>작문, 화법, 화작 통합</t>
  </si>
  <si>
    <t>AC2-01</t>
  </si>
  <si>
    <t>AC201,AC202,AC203,AC204</t>
  </si>
  <si>
    <t>정보 전달을 위한 작문</t>
  </si>
  <si>
    <t>AC2-02</t>
  </si>
  <si>
    <t>AC201,AC203</t>
  </si>
  <si>
    <t>작문의 원리</t>
  </si>
  <si>
    <t>AC2-03</t>
  </si>
  <si>
    <t>AC204</t>
  </si>
  <si>
    <t>고2를 위한 화법과 작문</t>
  </si>
  <si>
    <t>AC2-04</t>
  </si>
  <si>
    <t>AC206</t>
  </si>
  <si>
    <t>설득을 위한 화법</t>
  </si>
  <si>
    <t>AC2-05</t>
  </si>
  <si>
    <t>AC201,AC204,AC205,AC206</t>
  </si>
  <si>
    <t>화법의 원리</t>
  </si>
  <si>
    <t>AC3-01</t>
  </si>
  <si>
    <t>AC301,AC302,AC304</t>
  </si>
  <si>
    <t>화법과 작문의 본질과 태도</t>
  </si>
  <si>
    <t>AC3-02</t>
  </si>
  <si>
    <t>AC302,AC303</t>
  </si>
  <si>
    <t>설득을 위한 작문</t>
  </si>
  <si>
    <t>AC3-03</t>
  </si>
  <si>
    <t>AC305,AC306</t>
  </si>
  <si>
    <t>화법, 작문의 빈출 문제 유형</t>
  </si>
  <si>
    <t>AC3-04</t>
  </si>
  <si>
    <t>AC302,AC304</t>
  </si>
  <si>
    <t>자기표현과 사회적 상호 작용을 위한 화법</t>
  </si>
  <si>
    <t>AC3-05</t>
  </si>
  <si>
    <t>AC301,AC306</t>
  </si>
  <si>
    <t>자기표현과 사회적 상호 작용을 위한 작문</t>
  </si>
  <si>
    <t>AD1-01</t>
  </si>
  <si>
    <t>AD101,AD102,AD104</t>
  </si>
  <si>
    <t>음운 교과서 개념 학습</t>
  </si>
  <si>
    <t>AD1-02</t>
  </si>
  <si>
    <t>AD103</t>
  </si>
  <si>
    <t>문장 교과서 개념 학습</t>
  </si>
  <si>
    <t>AD1-03</t>
  </si>
  <si>
    <t>AD104,AD105</t>
  </si>
  <si>
    <t>문장 적용 학습</t>
  </si>
  <si>
    <t>AD1-04</t>
  </si>
  <si>
    <t>AD102,AD106</t>
  </si>
  <si>
    <t>2023 시작이 반이다! 언어(문법) 개념</t>
  </si>
  <si>
    <t>AD1-05</t>
  </si>
  <si>
    <t>AD105,AD108</t>
  </si>
  <si>
    <t>담화/국어사 적용 학습</t>
  </si>
  <si>
    <t>AD2-01</t>
  </si>
  <si>
    <t>AD201,AD205,AD206</t>
  </si>
  <si>
    <t>단어 적용 학습</t>
  </si>
  <si>
    <t>AD2-02</t>
  </si>
  <si>
    <t>AD202</t>
  </si>
  <si>
    <t>단어 교과서 개념 학습</t>
  </si>
  <si>
    <t>AD2-03</t>
  </si>
  <si>
    <t>AD204,AD205,AD207</t>
  </si>
  <si>
    <t>교과서 개념 학습</t>
  </si>
  <si>
    <t>AD2-04</t>
  </si>
  <si>
    <t>AD205,AD208</t>
  </si>
  <si>
    <t>2023 아는 것이 힘이다 - 상상국어 N제 언어</t>
  </si>
  <si>
    <t>AD2-05</t>
  </si>
  <si>
    <t>AD203,AD204,AD205</t>
  </si>
  <si>
    <t>2023 언매노트 - 달려라 언매(이론편)</t>
  </si>
  <si>
    <t>AD3-01</t>
  </si>
  <si>
    <t>AD301,AD303</t>
  </si>
  <si>
    <t>음운 적용 학습</t>
  </si>
  <si>
    <t>AD3-02</t>
  </si>
  <si>
    <t>AD302,AD303,AD304</t>
  </si>
  <si>
    <t>2023 언매 올인원</t>
  </si>
  <si>
    <t>AD3-03</t>
  </si>
  <si>
    <t>AD307</t>
  </si>
  <si>
    <t>2023 언매노트 - 달려라 언매(문제풀이편)</t>
  </si>
  <si>
    <t>AD3-04</t>
  </si>
  <si>
    <t>AD302,AD304,AD305</t>
  </si>
  <si>
    <t>2023 스캔 언어와 매체</t>
  </si>
  <si>
    <t>AD3-05</t>
  </si>
  <si>
    <t>AD305,AD306,AD307</t>
  </si>
  <si>
    <t>2022 엄쌤의 언매노트 - 달려라 언매</t>
  </si>
  <si>
    <t>BA1-01</t>
  </si>
  <si>
    <t>BA101,BA102,BA103,BA104</t>
  </si>
  <si>
    <t>수학의 시작, 시발점 - 수학&lt;상&gt;</t>
  </si>
  <si>
    <t>BA1-02</t>
  </si>
  <si>
    <t>1미리 오답 없는 실전 리허설</t>
  </si>
  <si>
    <t>BA1-03</t>
  </si>
  <si>
    <t>BA105</t>
  </si>
  <si>
    <t>N분 개념특강 - 다항식</t>
  </si>
  <si>
    <t>BA1-04</t>
  </si>
  <si>
    <t>BA102,BA103,BA107</t>
  </si>
  <si>
    <t>[고1] 3월 학력평가 대비 특강</t>
  </si>
  <si>
    <t>BA1-05</t>
  </si>
  <si>
    <t>BA103,BA104,BA105</t>
  </si>
  <si>
    <t>N분 개념특강 - 방정식</t>
  </si>
  <si>
    <t>BA2-01</t>
  </si>
  <si>
    <t>BA201,BA202</t>
  </si>
  <si>
    <t>지수/로그 함수</t>
  </si>
  <si>
    <t>BA2-02</t>
  </si>
  <si>
    <t>BA203</t>
  </si>
  <si>
    <t>N분 개념특강 - 수열</t>
  </si>
  <si>
    <t>BA2-03</t>
  </si>
  <si>
    <t>BA204</t>
  </si>
  <si>
    <t>삼각함수</t>
  </si>
  <si>
    <t>BA2-04</t>
  </si>
  <si>
    <t>BA202,BA205</t>
  </si>
  <si>
    <t>교과서 9종 서술형 완벽대비 특강</t>
  </si>
  <si>
    <t>BA2-05</t>
  </si>
  <si>
    <t>BA206</t>
  </si>
  <si>
    <t>2023 무조건 되는 불꽃개념(공통)</t>
  </si>
  <si>
    <t>BA3-01</t>
  </si>
  <si>
    <t>BA301,BA302</t>
  </si>
  <si>
    <t>2023 양승진의 실전코드</t>
  </si>
  <si>
    <t>BA3-02</t>
  </si>
  <si>
    <t>BA303,BA304</t>
  </si>
  <si>
    <t>삼각함수 도형 완전 정복</t>
  </si>
  <si>
    <t>BA3-03</t>
  </si>
  <si>
    <t>BA301,BA302,BA303,BA304</t>
  </si>
  <si>
    <t>2023 실제로 도움 되는 불꽃 포텐 N제 시즌1</t>
  </si>
  <si>
    <t>BA3-04</t>
  </si>
  <si>
    <t>BA302,BA305</t>
  </si>
  <si>
    <t>2023 김기현의 CONNECTION</t>
  </si>
  <si>
    <t>BA3-05</t>
  </si>
  <si>
    <t>BA304,BA305,BA306</t>
  </si>
  <si>
    <t>기출 100선 &lt;수학I&gt;</t>
  </si>
  <si>
    <t>BB1-01</t>
  </si>
  <si>
    <t>BB101</t>
  </si>
  <si>
    <t>매력있는 개념완성</t>
  </si>
  <si>
    <t>BB1-02</t>
  </si>
  <si>
    <t>BB101,BB102</t>
  </si>
  <si>
    <t>ONE SHOT 이차함수 특강</t>
  </si>
  <si>
    <t>BB1-03</t>
  </si>
  <si>
    <t>BB102,BB103,BB104</t>
  </si>
  <si>
    <t>ONE SHOT 개념원리</t>
  </si>
  <si>
    <t>BB1-04</t>
  </si>
  <si>
    <t>BB105</t>
  </si>
  <si>
    <t>최종점검 모의고사 (다항식 ~ 이차함수)</t>
  </si>
  <si>
    <t>BB1-05</t>
  </si>
  <si>
    <t>BB102,BB105,BB104</t>
  </si>
  <si>
    <t>수풀림 블루라벨</t>
  </si>
  <si>
    <t>BB2-01</t>
  </si>
  <si>
    <t>BB201,BB202,BB203</t>
  </si>
  <si>
    <t>N분 개념특강 - 미분법</t>
  </si>
  <si>
    <t>BB2-02</t>
  </si>
  <si>
    <t>BB202,BB203,BB204,BB205</t>
  </si>
  <si>
    <t>[수학II] 2023 무조건 되는 불꽃개념</t>
  </si>
  <si>
    <t>BB2-03</t>
  </si>
  <si>
    <t>BB206,BB207</t>
  </si>
  <si>
    <t>N분 개념특강 - 적분법</t>
  </si>
  <si>
    <t>BB2-04</t>
  </si>
  <si>
    <t>BB208</t>
  </si>
  <si>
    <t>[수학II] ONE SHOT 개념원리</t>
  </si>
  <si>
    <t>BB2-05</t>
  </si>
  <si>
    <t>BB201,BB204,BB205</t>
  </si>
  <si>
    <t>[10일완성] 시작하는 PRE 기출 100제</t>
  </si>
  <si>
    <t>BB3-01</t>
  </si>
  <si>
    <t>BB301,BB302</t>
  </si>
  <si>
    <t>2023 현우진의 뉴런 -  수학II</t>
  </si>
  <si>
    <t>BB3-02</t>
  </si>
  <si>
    <t>BB302,BB304,BB305,BB307</t>
  </si>
  <si>
    <t>[수학II] 2023 개념에센스</t>
  </si>
  <si>
    <t>BB3-03</t>
  </si>
  <si>
    <t>BB304,BB307,BB308</t>
  </si>
  <si>
    <t>2023 양승진의 실전코드 [수학II]</t>
  </si>
  <si>
    <t>BB3-04</t>
  </si>
  <si>
    <t>BB306</t>
  </si>
  <si>
    <t>2023 기출의 내일 &lt;수학II&gt;</t>
  </si>
  <si>
    <t>BB3-05</t>
  </si>
  <si>
    <t>BB305,BB306</t>
  </si>
  <si>
    <t>2023 한 방에 끝내는 EBS 수능특강 변형</t>
  </si>
  <si>
    <t>BC1-01</t>
  </si>
  <si>
    <t>BC101</t>
  </si>
  <si>
    <t>[미적분] 시작하는 불꽃 개념</t>
  </si>
  <si>
    <t>BC1-02</t>
  </si>
  <si>
    <t>BC102</t>
  </si>
  <si>
    <t>[미적분] ONE SHOT 개념원리</t>
  </si>
  <si>
    <t>BC1-03</t>
  </si>
  <si>
    <t>[미적분] 2023 개념에센스</t>
  </si>
  <si>
    <t>BC1-04</t>
  </si>
  <si>
    <t>BC101,BC102,BC103,BC104</t>
  </si>
  <si>
    <t>등비수열의 극한(개념)</t>
  </si>
  <si>
    <t>BC1-05</t>
  </si>
  <si>
    <t>BC104,BC105</t>
  </si>
  <si>
    <t>2023 장연진의 개념테제 &lt;미적분&gt;</t>
  </si>
  <si>
    <t>BC2-01</t>
  </si>
  <si>
    <t>BC201,BC202,BC204,BC205</t>
  </si>
  <si>
    <t>[미적분] 개념에 빛을 달다! 확실한 선행</t>
  </si>
  <si>
    <t>BC2-02</t>
  </si>
  <si>
    <t>BC202,BC204,BC205</t>
  </si>
  <si>
    <t>수열의 극한값과 대소 관계</t>
  </si>
  <si>
    <t>BC2-03</t>
  </si>
  <si>
    <t>BC201,BC202,BC204,BC206</t>
  </si>
  <si>
    <t>[미적분] 꼼꼼한 내신 직전대비, SKILL-UP</t>
  </si>
  <si>
    <t>BC2-04</t>
  </si>
  <si>
    <t>수열의 극한 실전 마무리</t>
  </si>
  <si>
    <t>BC2-05</t>
  </si>
  <si>
    <t>BC204,BC207</t>
  </si>
  <si>
    <t>급수의 수렴과 발산</t>
  </si>
  <si>
    <t>BC3-01</t>
  </si>
  <si>
    <t>BC301</t>
  </si>
  <si>
    <t>합성함수의 미분법</t>
  </si>
  <si>
    <t>BC3-02</t>
  </si>
  <si>
    <t>BC302,BC305,BC305</t>
  </si>
  <si>
    <t>[미적분] 김기현의 기출생각집</t>
  </si>
  <si>
    <t>BC3-03</t>
  </si>
  <si>
    <t>BC305,BC308</t>
  </si>
  <si>
    <t>[미적분] 김기현의 CONNECTION</t>
  </si>
  <si>
    <t>BC3-04</t>
  </si>
  <si>
    <t>BC301,BC305,BC306</t>
  </si>
  <si>
    <t>여러 가지 미분법 실전 마무리</t>
  </si>
  <si>
    <t>BC3-05</t>
  </si>
  <si>
    <t>BC306,BC308</t>
  </si>
  <si>
    <t>[미적분] 김기현의 IDEA</t>
  </si>
  <si>
    <t>CA1-01</t>
  </si>
  <si>
    <t>CA101</t>
  </si>
  <si>
    <t>[2022 자이스토리] 영어 독해 기본 PART1</t>
  </si>
  <si>
    <t>CA1-02</t>
  </si>
  <si>
    <t>CA101,CA102,CA103</t>
  </si>
  <si>
    <t>고1 요즘 독해 겨울 특강</t>
  </si>
  <si>
    <t>CA1-03</t>
  </si>
  <si>
    <t>CA104,CA105</t>
  </si>
  <si>
    <t>독해 1등급 [수능특강 BEST 32]</t>
  </si>
  <si>
    <t>CA1-04</t>
  </si>
  <si>
    <t>CA105,CA107,CA108</t>
  </si>
  <si>
    <t>1등급 실력 완성</t>
  </si>
  <si>
    <t>CA1-05</t>
  </si>
  <si>
    <t>CA108</t>
  </si>
  <si>
    <t>독해 1등급 [평가원 CODE 32]</t>
  </si>
  <si>
    <t>CA2-01</t>
  </si>
  <si>
    <t>CA201,CA202,CA203,CA204</t>
  </si>
  <si>
    <t>오답 제거의 원리</t>
  </si>
  <si>
    <t>CA2-02</t>
  </si>
  <si>
    <t>CA204,CA205,CA206,CA207</t>
  </si>
  <si>
    <t>문장 삽입, 요약문 완성 완벽 정복</t>
  </si>
  <si>
    <t>CA2-03</t>
  </si>
  <si>
    <t>CA207,CA208</t>
  </si>
  <si>
    <t>어법, 무관한 문장에 대하여</t>
  </si>
  <si>
    <t>CA2-04</t>
  </si>
  <si>
    <t>CA205,CA206</t>
  </si>
  <si>
    <t>문제 접근의 원리</t>
  </si>
  <si>
    <t>CA2-05</t>
  </si>
  <si>
    <t>CA205</t>
  </si>
  <si>
    <t>노베이스를 위한 오답 제거의 원리</t>
  </si>
  <si>
    <t>CA3-01</t>
  </si>
  <si>
    <t>CA301,CA302,CA303</t>
  </si>
  <si>
    <t>틀리지 말아야 하는 유형편</t>
  </si>
  <si>
    <t>CA3-02</t>
  </si>
  <si>
    <t>CA302,CA305</t>
  </si>
  <si>
    <t>빈칸/순서/삽입 한 번에</t>
  </si>
  <si>
    <t>CA3-03</t>
  </si>
  <si>
    <t>CA306,CA307</t>
  </si>
  <si>
    <t>기본부터 차근차근 8지문 구조+유형별 독해</t>
  </si>
  <si>
    <t>CA3-04</t>
  </si>
  <si>
    <t>CA307,CA308</t>
  </si>
  <si>
    <t>V 유형독해 완전 정복</t>
  </si>
  <si>
    <t>CA3-05</t>
  </si>
  <si>
    <t>CA308</t>
  </si>
  <si>
    <t>독해만 잘해도 수능영어 1등급</t>
  </si>
  <si>
    <t>CB1-01</t>
  </si>
  <si>
    <t>CB101,CB102</t>
  </si>
  <si>
    <t>과거분사, 과거동사, 수동태의 모든것</t>
  </si>
  <si>
    <t>CB1-02</t>
  </si>
  <si>
    <t>CB105</t>
  </si>
  <si>
    <t>빈칸 추론, 함축 의미 추론하기</t>
  </si>
  <si>
    <t>CB1-03</t>
  </si>
  <si>
    <t>CB104,CB106,CB107,CB108</t>
  </si>
  <si>
    <t>동명사, 분사구문의 차이</t>
  </si>
  <si>
    <t>CB1-04</t>
  </si>
  <si>
    <t>CB107,CB108</t>
  </si>
  <si>
    <t>목적격 보어R과 P.P</t>
  </si>
  <si>
    <t>CB1-05</t>
  </si>
  <si>
    <t>CB103,CB104,CB105</t>
  </si>
  <si>
    <t>what, that, whose가 쓰일 때</t>
  </si>
  <si>
    <t>CB2-01</t>
  </si>
  <si>
    <t>CB201,CB202</t>
  </si>
  <si>
    <t>영어 1등급 START</t>
  </si>
  <si>
    <t>CB2-02</t>
  </si>
  <si>
    <t>CB203,CB205,CB206</t>
  </si>
  <si>
    <t>내신에 꼭 나오는 문법</t>
  </si>
  <si>
    <t>CB2-03</t>
  </si>
  <si>
    <t>CB204</t>
  </si>
  <si>
    <t>THEME로 완성하는 수능 문법</t>
  </si>
  <si>
    <t>CB2-04</t>
  </si>
  <si>
    <t>CB202,CB204,CB205,CB206</t>
  </si>
  <si>
    <t>고2 1등급 실력 완성3</t>
  </si>
  <si>
    <t>CB2-05</t>
  </si>
  <si>
    <t>CB208</t>
  </si>
  <si>
    <t>믿어봐! 문법 접근법을 알려줄게</t>
  </si>
  <si>
    <t>CB3-01</t>
  </si>
  <si>
    <t>CB301,CB302,CB303,CB304</t>
  </si>
  <si>
    <t>6시간 수능 문법 마침표</t>
  </si>
  <si>
    <t>CB3-02</t>
  </si>
  <si>
    <t>CB304,CB305,CB306</t>
  </si>
  <si>
    <t>영포자 독학의 첫걸음</t>
  </si>
  <si>
    <t>CB3-03</t>
  </si>
  <si>
    <t>CB305</t>
  </si>
  <si>
    <t>수능+내신 문법의 시작</t>
  </si>
  <si>
    <t>CB3-04</t>
  </si>
  <si>
    <t>CB305,CB307,CB308</t>
  </si>
  <si>
    <t>어법킹_이것만 알면 돼!</t>
  </si>
  <si>
    <t>CB3-05</t>
  </si>
  <si>
    <t>수능+내신 어법의 완결</t>
  </si>
  <si>
    <t>CC1-01</t>
  </si>
  <si>
    <t>CC101</t>
  </si>
  <si>
    <t>어휘로 때려잡는 리스닝</t>
  </si>
  <si>
    <t>CC1-02</t>
  </si>
  <si>
    <t>CC102</t>
  </si>
  <si>
    <t>김용지의 영어 듣기</t>
  </si>
  <si>
    <t>CC1-03</t>
  </si>
  <si>
    <t>CC101,CC102</t>
  </si>
  <si>
    <t>구문으로 때려잡는 리스닝</t>
  </si>
  <si>
    <t>CC1-04</t>
  </si>
  <si>
    <t>CC101,CC102,CC105</t>
  </si>
  <si>
    <t>[2020학년도 고1 6월 학력평가 해설] 영어</t>
  </si>
  <si>
    <t>CC1-05</t>
  </si>
  <si>
    <t>CC101,CC104,CC105</t>
  </si>
  <si>
    <t>실전모의고사 완벽정복</t>
  </si>
  <si>
    <t>CC2-01</t>
  </si>
  <si>
    <t>CC201,CC202</t>
  </si>
  <si>
    <t>어휘 키워드로 때려잡는 리스닝 유형편</t>
  </si>
  <si>
    <t>CC2-02</t>
  </si>
  <si>
    <t>CC203</t>
  </si>
  <si>
    <t>고2 어휘로 때려잡는 리스닝</t>
  </si>
  <si>
    <t>CC2-03</t>
  </si>
  <si>
    <t>CC204,CC205,CC206</t>
  </si>
  <si>
    <t>2023 NEW 어.때.영 [빈출편]</t>
  </si>
  <si>
    <t>CC2-04</t>
  </si>
  <si>
    <t>CC201,CC202,CC203</t>
  </si>
  <si>
    <t>모의고사로 때려잡는 리스닝</t>
  </si>
  <si>
    <t>CC2-05</t>
  </si>
  <si>
    <t>CC202,CC204</t>
  </si>
  <si>
    <t>고2 구문으로 때려잡는 리스닝</t>
  </si>
  <si>
    <t>CC3-01</t>
  </si>
  <si>
    <t>CC301,CC302,CC303,CC304</t>
  </si>
  <si>
    <t>10분으로 때려잡는 영어듣기</t>
  </si>
  <si>
    <t>CC3-02</t>
  </si>
  <si>
    <t>CC304,CC305,CC306,CC307</t>
  </si>
  <si>
    <t>LISTENING POWER 리스닝 파워 고교영어듣기</t>
  </si>
  <si>
    <t>CC3-03</t>
  </si>
  <si>
    <t>CC306</t>
  </si>
  <si>
    <t>고3을 위한 기출의 미래</t>
  </si>
  <si>
    <t>CC3-04</t>
  </si>
  <si>
    <t>CC302,CC307,CC308</t>
  </si>
  <si>
    <t>김태우의 영어듣기연습 B형</t>
  </si>
  <si>
    <t>CC3-05</t>
  </si>
  <si>
    <t>CC301,CC306,CC307</t>
  </si>
  <si>
    <t>[예비 고3 지금 내 등급은?] 영어듣기</t>
  </si>
  <si>
    <t>DA1-01</t>
  </si>
  <si>
    <t>DA101</t>
  </si>
  <si>
    <t>2023 이다지도 완벽한 한국사 개념완성</t>
  </si>
  <si>
    <t>DA1-02</t>
  </si>
  <si>
    <t>DA102</t>
  </si>
  <si>
    <t>2023 달콤 한국사 스피드 압축 특강</t>
  </si>
  <si>
    <t>DA1-03</t>
  </si>
  <si>
    <t>DA105</t>
  </si>
  <si>
    <t>이다지도 확실한 한국사 내신 완성</t>
  </si>
  <si>
    <t>DA1-04</t>
  </si>
  <si>
    <t>DA101,DA102,DA105</t>
  </si>
  <si>
    <t>완벽한 자신감! 완자 내신 한국사</t>
  </si>
  <si>
    <t>DA1-05</t>
  </si>
  <si>
    <t>DA106,DA107</t>
  </si>
  <si>
    <t>2023 달콤 개념완성 레시피</t>
  </si>
  <si>
    <t>DA2-01</t>
  </si>
  <si>
    <t>DA201,DA202,DA205,DA206</t>
  </si>
  <si>
    <t>2023 아름다운 15시간 개념완성</t>
  </si>
  <si>
    <t>DA2-02</t>
  </si>
  <si>
    <t>DA205,DA206,DA207</t>
  </si>
  <si>
    <t>한국사 어떻게 무엇을 왜 배우는가?</t>
  </si>
  <si>
    <t>DA2-03</t>
  </si>
  <si>
    <t>DA203,DA207,DA208</t>
  </si>
  <si>
    <t>박세훈의 10강으로 끝내는 한국사</t>
  </si>
  <si>
    <t>DA2-04</t>
  </si>
  <si>
    <t>DA207,DA208</t>
  </si>
  <si>
    <t>박세훈의 한국사 1등급 5분컷 가이드</t>
  </si>
  <si>
    <t>DA2-05</t>
  </si>
  <si>
    <t>DA204,DA205,DA208</t>
  </si>
  <si>
    <t>지표와 연표로 흐름을 읽는 한국사</t>
  </si>
  <si>
    <t>DA3-01</t>
  </si>
  <si>
    <t>DA301,DA303</t>
  </si>
  <si>
    <t>고3 한국사 완벽정복</t>
  </si>
  <si>
    <t>DA3-02</t>
  </si>
  <si>
    <t>DA302</t>
  </si>
  <si>
    <t>한국사 이해하기</t>
  </si>
  <si>
    <t>DA3-03</t>
  </si>
  <si>
    <t>DA304,DA305,DA306</t>
  </si>
  <si>
    <t>한국사 빠르고 재미있게 완벽하게 하자!</t>
  </si>
  <si>
    <t>DA3-04</t>
  </si>
  <si>
    <t>DA303,DA306</t>
  </si>
  <si>
    <t>한국사 내신 직전 대비 특강</t>
  </si>
  <si>
    <t>DA3-05</t>
  </si>
  <si>
    <t>DA301,DA302,DA303,DA304</t>
  </si>
  <si>
    <t>길진봉의 한국사 내비게이션</t>
  </si>
  <si>
    <t>DB1-01</t>
  </si>
  <si>
    <t>DB101,DB102,DB103</t>
  </si>
  <si>
    <t>인류의 기원과 문명의 발생</t>
  </si>
  <si>
    <t>DB1-02</t>
  </si>
  <si>
    <t>DB102,DB103</t>
  </si>
  <si>
    <t>고1 세계사 완벽 정리</t>
  </si>
  <si>
    <t>DB1-03</t>
  </si>
  <si>
    <t>DB104,DB105</t>
  </si>
  <si>
    <t>동아시아 세계의 발전 및 변동 1</t>
  </si>
  <si>
    <t>DB1-04</t>
  </si>
  <si>
    <t>DB106</t>
  </si>
  <si>
    <t>동아시아 세계의 발전 및 변동 2</t>
  </si>
  <si>
    <t>DB1-05</t>
  </si>
  <si>
    <t>DB101,DB103,DB104,DB105</t>
  </si>
  <si>
    <t>내신 직전에 보는 고1 세계사</t>
  </si>
  <si>
    <t>DB2-01</t>
  </si>
  <si>
    <t>DB201,DB202,DB205</t>
  </si>
  <si>
    <t>서아시아의 여러 제국과 이슬람 세계의 형성</t>
  </si>
  <si>
    <t>DB2-02</t>
  </si>
  <si>
    <t>DB205,DB206</t>
  </si>
  <si>
    <t>고대 지중해 세계 들여다보기</t>
  </si>
  <si>
    <t>DB2-03</t>
  </si>
  <si>
    <t>DB207</t>
  </si>
  <si>
    <t>유럽 세계의 형성과 동요</t>
  </si>
  <si>
    <t>DB2-04</t>
  </si>
  <si>
    <t>DB205</t>
  </si>
  <si>
    <t>유럽 세계의 변화 1</t>
  </si>
  <si>
    <t>DB2-05</t>
  </si>
  <si>
    <t>DB206</t>
  </si>
  <si>
    <t>유럽 세계의 변화 2</t>
  </si>
  <si>
    <t>DB3-01</t>
  </si>
  <si>
    <t>DB301,DB302</t>
  </si>
  <si>
    <t>시민 혁명과 산업 혁명</t>
  </si>
  <si>
    <t>DB3-02</t>
  </si>
  <si>
    <t>DB303</t>
  </si>
  <si>
    <t>고3 세계사 완벽정복</t>
  </si>
  <si>
    <t>DB3-03</t>
  </si>
  <si>
    <t>DB302,DB305</t>
  </si>
  <si>
    <t>10강으로 정리하는 세계사</t>
  </si>
  <si>
    <t>DB3-04</t>
  </si>
  <si>
    <t>DB305,DB307</t>
  </si>
  <si>
    <t>6시간 세계사 완벽 마침표</t>
  </si>
  <si>
    <t>DB3-05</t>
  </si>
  <si>
    <t>DB308</t>
  </si>
  <si>
    <t>제국주의와 민족 운동</t>
  </si>
  <si>
    <t>EA1-01</t>
  </si>
  <si>
    <t>EA101,EA102</t>
  </si>
  <si>
    <t>인류의 출현과 문명의 발생에 대해</t>
  </si>
  <si>
    <t>EA1-02</t>
  </si>
  <si>
    <t>EA103,EA105,EA106</t>
  </si>
  <si>
    <t>생활과 윤리 쉽게 다가가기</t>
  </si>
  <si>
    <t>EA1-03</t>
  </si>
  <si>
    <t>EA103</t>
  </si>
  <si>
    <t>고1 생활과 윤리 완전정복</t>
  </si>
  <si>
    <t>EA1-04</t>
  </si>
  <si>
    <t>EA108</t>
  </si>
  <si>
    <t>고1 생활과 윤리 어렵지 않아!</t>
  </si>
  <si>
    <t>EA1-05</t>
  </si>
  <si>
    <t>EA103,EA108</t>
  </si>
  <si>
    <t>동아시아 세계의 형성에 대하여</t>
  </si>
  <si>
    <t>EA2-01</t>
  </si>
  <si>
    <t>EA201</t>
  </si>
  <si>
    <t>죽음의 윤리에 대하여</t>
  </si>
  <si>
    <t>EA2-02</t>
  </si>
  <si>
    <t>EA204</t>
  </si>
  <si>
    <t>직업과 청렴의 윤리</t>
  </si>
  <si>
    <t>EA2-03</t>
  </si>
  <si>
    <t>EA203,EA204,EA205</t>
  </si>
  <si>
    <t>윤리학의 종류와 윤리적 성찰</t>
  </si>
  <si>
    <t>EA2-04</t>
  </si>
  <si>
    <t>EA204,EA205,EA306,EA307</t>
  </si>
  <si>
    <t>강라현의 바른 내신 완성</t>
  </si>
  <si>
    <t>EA2-05</t>
  </si>
  <si>
    <t>EA205,EA207,EA208</t>
  </si>
  <si>
    <t>생활과 윤리가 뭐지</t>
  </si>
  <si>
    <t>EA3-01</t>
  </si>
  <si>
    <t>EA301</t>
  </si>
  <si>
    <t>현대 윤리 문제에 대한 접근</t>
  </si>
  <si>
    <t>EA3-02</t>
  </si>
  <si>
    <t>EA301,EA302,EA303,EA304</t>
  </si>
  <si>
    <t>생활과 윤리 개념완성</t>
  </si>
  <si>
    <t>EA3-03</t>
  </si>
  <si>
    <t>EA303,EA305,EA306,EA307</t>
  </si>
  <si>
    <t>현대 생활과 실천 윤리</t>
  </si>
  <si>
    <t>EA3-04</t>
  </si>
  <si>
    <t>EA306</t>
  </si>
  <si>
    <t>사회 정의와 윤리</t>
  </si>
  <si>
    <t>EA3-05</t>
  </si>
  <si>
    <t>EA307,EA308</t>
  </si>
  <si>
    <t>생활과 윤리 쉽게 정복하기</t>
  </si>
  <si>
    <t>EB1-01</t>
  </si>
  <si>
    <t>EB101,EB102,EB103,EB104</t>
  </si>
  <si>
    <t>자연현상과 사회문화현상</t>
  </si>
  <si>
    <t>EB1-02</t>
  </si>
  <si>
    <t>EB102,EB105,EB106</t>
  </si>
  <si>
    <t>사회문화현상을 보는 관점</t>
  </si>
  <si>
    <t>EB1-03</t>
  </si>
  <si>
    <t>EB104,EB105,EB107</t>
  </si>
  <si>
    <t>사회과학 연구방법</t>
  </si>
  <si>
    <t>EB1-04</t>
  </si>
  <si>
    <t>EB108</t>
  </si>
  <si>
    <t>자료수집방법</t>
  </si>
  <si>
    <t>EB1-05</t>
  </si>
  <si>
    <t>EB104,EB108</t>
  </si>
  <si>
    <t>인간의 사회화</t>
  </si>
  <si>
    <t>EB2-01</t>
  </si>
  <si>
    <t>EB204,EB205,EB206,EB207</t>
  </si>
  <si>
    <t>사회, 문화현상의 이해</t>
  </si>
  <si>
    <t>EB2-02</t>
  </si>
  <si>
    <t>EB206,EB207</t>
  </si>
  <si>
    <t>사회문화 힘들게 하지 말자!</t>
  </si>
  <si>
    <t>EB2-03</t>
  </si>
  <si>
    <t>EB203,EB205,EB206,EB207</t>
  </si>
  <si>
    <t>사회, 문화현상의 연구 방법</t>
  </si>
  <si>
    <t>EB2-04</t>
  </si>
  <si>
    <t>EB205,EB206,EB207,EB208</t>
  </si>
  <si>
    <t>사회집단과 사회조직에 대하여</t>
  </si>
  <si>
    <t>EB2-05</t>
  </si>
  <si>
    <t>EB201,EB202,EB207</t>
  </si>
  <si>
    <t>5시간만에 사회문화 완벽 이해</t>
  </si>
  <si>
    <t>EB3-01</t>
  </si>
  <si>
    <t>EB301,EB302,EB303,EB304</t>
  </si>
  <si>
    <t>사회 복지와 사회제도</t>
  </si>
  <si>
    <t>EB3-02</t>
  </si>
  <si>
    <t>EB304,EB305</t>
  </si>
  <si>
    <t>현대 사회의 변화와 전 지구적 수준의 문제</t>
  </si>
  <si>
    <t>EB3-03</t>
  </si>
  <si>
    <t>EB302,EB304,EB305</t>
  </si>
  <si>
    <t>사회 변동과 사회운동</t>
  </si>
  <si>
    <t>EB3-04</t>
  </si>
  <si>
    <t>EB302,EB303</t>
  </si>
  <si>
    <t>사회 불평등 현상의 이해</t>
  </si>
  <si>
    <t>EB3-05</t>
  </si>
  <si>
    <t>EB305,EB306,EB307</t>
  </si>
  <si>
    <t>단원별 기출 플러스 종합</t>
  </si>
  <si>
    <t>EC1-01</t>
  </si>
  <si>
    <t>EC101,EC102,EC103</t>
  </si>
  <si>
    <t>유교사상의 연원</t>
  </si>
  <si>
    <t>EC1-02</t>
  </si>
  <si>
    <t>EC103</t>
  </si>
  <si>
    <t>맹자의 본성론</t>
  </si>
  <si>
    <t>EC1-03</t>
  </si>
  <si>
    <t>EC105,EC106,EC108</t>
  </si>
  <si>
    <t>도교윤리의 전개에 대하여</t>
  </si>
  <si>
    <t>EC1-04</t>
  </si>
  <si>
    <t>EC102,EC104,EC107,EC108</t>
  </si>
  <si>
    <t>노자의 정치사상</t>
  </si>
  <si>
    <t>EC1-05</t>
  </si>
  <si>
    <t>EC104</t>
  </si>
  <si>
    <t>디오게네스의 금욕주의에 대하여</t>
  </si>
  <si>
    <t>EC2-01</t>
  </si>
  <si>
    <t>EC201,EC202,EC203,EC204</t>
  </si>
  <si>
    <t>행복 추구와 신앙</t>
  </si>
  <si>
    <t>EC2-02</t>
  </si>
  <si>
    <t>EC206</t>
  </si>
  <si>
    <t>고2 윤리와 사상 개념완성</t>
  </si>
  <si>
    <t>EC2-03</t>
  </si>
  <si>
    <t>EC207,EC208</t>
  </si>
  <si>
    <t>민주주의와 자본주의의 의의</t>
  </si>
  <si>
    <t>EC2-04</t>
  </si>
  <si>
    <t>EC204,EC205,EC206,EC207</t>
  </si>
  <si>
    <t>6시간안에 개념완성하기</t>
  </si>
  <si>
    <t>EC2-05</t>
  </si>
  <si>
    <t>EC207</t>
  </si>
  <si>
    <t>윤리와 사상 핵심개념 총정리</t>
  </si>
  <si>
    <t>EC3-01</t>
  </si>
  <si>
    <t>EC301,EC302,EC303,EC304</t>
  </si>
  <si>
    <t>꼼꼼하게 수특 윤사 체크하기</t>
  </si>
  <si>
    <t>EC3-02</t>
  </si>
  <si>
    <t>EC302,EC304</t>
  </si>
  <si>
    <t>유교와 인의 윤리</t>
  </si>
  <si>
    <t>EC3-03</t>
  </si>
  <si>
    <t>EC305,EC306,EC307,EC308</t>
  </si>
  <si>
    <t>한국 유교와 도덕적 심성</t>
  </si>
  <si>
    <t>EC3-04</t>
  </si>
  <si>
    <t>EC307,EC308</t>
  </si>
  <si>
    <t>불교와 자비 및 화합의 윤리</t>
  </si>
  <si>
    <t>EC3-05</t>
  </si>
  <si>
    <t>EC301,EC304,EC305</t>
  </si>
  <si>
    <t>도가와 무위자연의 윤리</t>
  </si>
  <si>
    <t>FA1-01</t>
  </si>
  <si>
    <t>FA101,FA102,FA103,FA104</t>
  </si>
  <si>
    <t>고지자기는 무엇일까</t>
  </si>
  <si>
    <t>FA1-02</t>
  </si>
  <si>
    <t>FA105</t>
  </si>
  <si>
    <t>함수광물의 종류에 대하여</t>
  </si>
  <si>
    <t>FA1-03</t>
  </si>
  <si>
    <t>FA108</t>
  </si>
  <si>
    <t>용존 기체란?</t>
  </si>
  <si>
    <t>FA1-04</t>
  </si>
  <si>
    <t>FA103,FA104,FA105,FA107</t>
  </si>
  <si>
    <t>방사선 동위 원소는 무엇일까</t>
  </si>
  <si>
    <t>FA1-05</t>
  </si>
  <si>
    <t>FA105,FA108</t>
  </si>
  <si>
    <t>빅뱅은 언제 생긴걸까?</t>
  </si>
  <si>
    <t>FA2-01</t>
  </si>
  <si>
    <t>FA202,FA205</t>
  </si>
  <si>
    <t>5분 3D 지구과학</t>
  </si>
  <si>
    <t>FA2-02</t>
  </si>
  <si>
    <t>FA201,FA202,FA204,FA206</t>
  </si>
  <si>
    <t>고2 지구과학 완전정복</t>
  </si>
  <si>
    <t>FA2-03</t>
  </si>
  <si>
    <t>FA203,FA205</t>
  </si>
  <si>
    <t>별의 탄생과 진화에 대하여</t>
  </si>
  <si>
    <t>FA2-04</t>
  </si>
  <si>
    <t>FA204,FA205,FA208</t>
  </si>
  <si>
    <t>지구의 자전과 공전이 생기는 원리</t>
  </si>
  <si>
    <t>FA2-05</t>
  </si>
  <si>
    <t>FA206,FA208</t>
  </si>
  <si>
    <t>엘니뇨와 라니냐는 무엇일까</t>
  </si>
  <si>
    <t>FA3-01</t>
  </si>
  <si>
    <t>FA301</t>
  </si>
  <si>
    <t>G요원과 함깨 하는 방구석 지구과학 여행 설명서</t>
  </si>
  <si>
    <t>FA3-02</t>
  </si>
  <si>
    <t>FA302,FA303</t>
  </si>
  <si>
    <t>지권은 어떻게 변했을까?</t>
  </si>
  <si>
    <t>FA3-03</t>
  </si>
  <si>
    <t>FA305</t>
  </si>
  <si>
    <t>과거의 생물과 기후는 어땠을까?</t>
  </si>
  <si>
    <t>FA3-04</t>
  </si>
  <si>
    <t>FA307,FA308</t>
  </si>
  <si>
    <t>대륙의 이동에 대하여</t>
  </si>
  <si>
    <t>FA3-05</t>
  </si>
  <si>
    <t>FA303,FA305</t>
  </si>
  <si>
    <t>대륙 이동설의 진실은?</t>
  </si>
  <si>
    <t>FB1-01</t>
  </si>
  <si>
    <t>FB101,FB102,FB103</t>
  </si>
  <si>
    <t>2023 기초 입문 특강</t>
  </si>
  <si>
    <t>FB1-02</t>
  </si>
  <si>
    <t>FB105</t>
  </si>
  <si>
    <t>고1을 위한 내신 완성 400제</t>
  </si>
  <si>
    <t>FB1-03</t>
  </si>
  <si>
    <t>FB108</t>
  </si>
  <si>
    <t>[생명과학] 학교 내신을 위한</t>
  </si>
  <si>
    <t>FB1-04</t>
  </si>
  <si>
    <t>FB101,FB102,FB105,FB108</t>
  </si>
  <si>
    <t>수능입문 기초탄탄</t>
  </si>
  <si>
    <t>FB1-05</t>
  </si>
  <si>
    <t>FB103,FB105,FB107,FB108</t>
  </si>
  <si>
    <t>[생명과학] 어려운 기출까지 풀어내는</t>
  </si>
  <si>
    <t>FB2-01</t>
  </si>
  <si>
    <t>FB202</t>
  </si>
  <si>
    <t>2023 5분 기출 트레이닝</t>
  </si>
  <si>
    <t>FB2-02</t>
  </si>
  <si>
    <t>FB201,FB202,FB203</t>
  </si>
  <si>
    <t>2023 스피드 개념 완성반</t>
  </si>
  <si>
    <t>FB2-03</t>
  </si>
  <si>
    <t>FB201,FB202,FB203,FB204</t>
  </si>
  <si>
    <t>고2를 위한 내신 완성 400제</t>
  </si>
  <si>
    <t>FB2-04</t>
  </si>
  <si>
    <t>FB205,FB206,FB207</t>
  </si>
  <si>
    <t>2023 섬세한 개념완성반</t>
  </si>
  <si>
    <t>FB2-05</t>
  </si>
  <si>
    <t>FB207,FB208</t>
  </si>
  <si>
    <t>[생명과학] 벼락치기 특강</t>
  </si>
  <si>
    <t>FB3-01</t>
  </si>
  <si>
    <t>FB301,FB305,FB306,FB307</t>
  </si>
  <si>
    <t>2023 백호 봉투 모의고사</t>
  </si>
  <si>
    <t>FB3-02</t>
  </si>
  <si>
    <t>FB305,FB306,FB307</t>
  </si>
  <si>
    <t>2023 수능대비 철두철미 모의고사 시즌1</t>
  </si>
  <si>
    <t>FB3-03</t>
  </si>
  <si>
    <t>FB304</t>
  </si>
  <si>
    <t>[생명과학] 2023 로직 N제</t>
  </si>
  <si>
    <t>FB3-04</t>
  </si>
  <si>
    <t>FB302,FB305,FB307</t>
  </si>
  <si>
    <t>2023 킬러7 고난도 230제</t>
  </si>
  <si>
    <t>FB3-05</t>
  </si>
  <si>
    <t>FB308</t>
  </si>
  <si>
    <t>2023 속전속결 스피드 개념완성</t>
  </si>
  <si>
    <t>FC1-01</t>
  </si>
  <si>
    <t>FC101,FC102</t>
  </si>
  <si>
    <t>[화학] 베테랑의 똑똑한 화학 입문 특강</t>
  </si>
  <si>
    <t>FC1-02</t>
  </si>
  <si>
    <t>FC103,FC108</t>
  </si>
  <si>
    <t>5일만에 끝내는 라이브 특강</t>
  </si>
  <si>
    <t>FC1-03</t>
  </si>
  <si>
    <t>FC105,FC106,FC108</t>
  </si>
  <si>
    <t>[화학] 내신 만점의 정답, 정훈구</t>
  </si>
  <si>
    <t>FC1-04</t>
  </si>
  <si>
    <t>FC107,FC108</t>
  </si>
  <si>
    <t>화학 반응식의 의미와 한계 반응물에 대하여</t>
  </si>
  <si>
    <t>FC1-05</t>
  </si>
  <si>
    <t>FC101</t>
  </si>
  <si>
    <t>용액의 농도를 알아보자</t>
  </si>
  <si>
    <t>FC2-01</t>
  </si>
  <si>
    <t>FC201,FC202,FC203</t>
  </si>
  <si>
    <t>[화학] 베테랑의 개념완성</t>
  </si>
  <si>
    <t>FC2-02</t>
  </si>
  <si>
    <t>FC207</t>
  </si>
  <si>
    <t>고2 [화학] 똑똑한 화학 입문 특강</t>
  </si>
  <si>
    <t>FC2-03</t>
  </si>
  <si>
    <t>FC205,FC207</t>
  </si>
  <si>
    <t>[화학] 2023 THE 깊은 화학</t>
  </si>
  <si>
    <t>FC2-04</t>
  </si>
  <si>
    <t>FC204,FC206,FC208</t>
  </si>
  <si>
    <t>[화학] 정우정 개념 서브노트</t>
  </si>
  <si>
    <t>FC2-05</t>
  </si>
  <si>
    <t>FC203,FC206</t>
  </si>
  <si>
    <t>[화학] 2023 물질의 양 스텝 밟기</t>
  </si>
  <si>
    <t>FC3-01</t>
  </si>
  <si>
    <t>FC301,FC302,FC303,FC304</t>
  </si>
  <si>
    <t>고3 화학 다지기에는 3시간이면 충분해</t>
  </si>
  <si>
    <t>FC3-02</t>
  </si>
  <si>
    <t>FC305,FC306,FC307,FC308</t>
  </si>
  <si>
    <t>2023 오늘의 화학</t>
  </si>
  <si>
    <t>FC3-03</t>
  </si>
  <si>
    <t>FC308</t>
  </si>
  <si>
    <t>2023 일사천리 킬러특강</t>
  </si>
  <si>
    <t>FC3-04</t>
  </si>
  <si>
    <t>FC307,FC308</t>
  </si>
  <si>
    <t>[화학] 2023 수능대비</t>
  </si>
  <si>
    <t>FC3-05</t>
  </si>
  <si>
    <t>FC305,FC307,FC308</t>
  </si>
  <si>
    <t>[화학] 2023 우리만의 킬러 특강</t>
  </si>
  <si>
    <t>GA1-01</t>
  </si>
  <si>
    <t>GA101,GA102,GA103,GA104</t>
  </si>
  <si>
    <t>산업 구조와 공업의 발달</t>
  </si>
  <si>
    <t>GA1-02</t>
  </si>
  <si>
    <t>GA104,GA105</t>
  </si>
  <si>
    <t>고1 공업 완벽 정리</t>
  </si>
  <si>
    <t>GA1-03</t>
  </si>
  <si>
    <t>GA106,GA107,GA108</t>
  </si>
  <si>
    <t>고1 공업 어렵지 않아요!</t>
  </si>
  <si>
    <t>GA1-04</t>
  </si>
  <si>
    <t>GA104</t>
  </si>
  <si>
    <t>4시간 공업 완벽 이해하기</t>
  </si>
  <si>
    <t>GA1-05</t>
  </si>
  <si>
    <t>GA103,GA104,GA107,GA108</t>
  </si>
  <si>
    <t>제품의 제조 과정은 어떻게 할까요</t>
  </si>
  <si>
    <t>GA2-01</t>
  </si>
  <si>
    <t>GA201,GA202,GA203,GA204</t>
  </si>
  <si>
    <t>고2 공업 모의고사 풀어보기</t>
  </si>
  <si>
    <t>GA2-02</t>
  </si>
  <si>
    <t>GA205</t>
  </si>
  <si>
    <t>경공업의 개요 이해하기</t>
  </si>
  <si>
    <t>GA2-03</t>
  </si>
  <si>
    <t>GA208</t>
  </si>
  <si>
    <t>첨단 공업과 미래 사회에 대하여</t>
  </si>
  <si>
    <t>GA2-04</t>
  </si>
  <si>
    <t>CA206,GA207</t>
  </si>
  <si>
    <t>제품 개발 및 생산 관리학</t>
  </si>
  <si>
    <t>GA2-05</t>
  </si>
  <si>
    <t>GA201,GA203,GA205</t>
  </si>
  <si>
    <t>경영 지원 활동에 대하여</t>
  </si>
  <si>
    <t>GA3-01</t>
  </si>
  <si>
    <t>GA301</t>
  </si>
  <si>
    <t>생산 혁신 활동을 해보자</t>
  </si>
  <si>
    <t>GA3-02</t>
  </si>
  <si>
    <t>GA302,GA303,GA305</t>
  </si>
  <si>
    <t>제조 현장 및 품질 관리</t>
  </si>
  <si>
    <t>GA3-03</t>
  </si>
  <si>
    <t>GA306</t>
  </si>
  <si>
    <t>구매? 자재 관리는 뭘까</t>
  </si>
  <si>
    <t>GA3-04</t>
  </si>
  <si>
    <t>GA306,GA307</t>
  </si>
  <si>
    <t>공장 자동화와 로봇의 활용</t>
  </si>
  <si>
    <t>GA3-05</t>
  </si>
  <si>
    <t>GA303,GA304,GA307</t>
  </si>
  <si>
    <t>기술 경영과 창업은 어떻게 돌아갈까</t>
  </si>
  <si>
    <t>GB1-01</t>
  </si>
  <si>
    <t>GB101,GB102</t>
  </si>
  <si>
    <t>고1부터 상업정보 완벽 정리하기</t>
  </si>
  <si>
    <t>GB1-02</t>
  </si>
  <si>
    <t>GB105,GB106,GB108</t>
  </si>
  <si>
    <t>상업정보 실전모의고사 풀기</t>
  </si>
  <si>
    <t>GB1-03</t>
  </si>
  <si>
    <t>GB102,GB106</t>
  </si>
  <si>
    <t>상업정보 누구보다 빠르게 이해하기</t>
  </si>
  <si>
    <t>GB1-04</t>
  </si>
  <si>
    <t>GB103,GB106,GB107,GB108</t>
  </si>
  <si>
    <t>상업정보 5시간만에 이해하기</t>
  </si>
  <si>
    <t>GB1-05</t>
  </si>
  <si>
    <t>GB102,GB104,GB107</t>
  </si>
  <si>
    <t>머리가 지끈지끈 상업정보</t>
  </si>
  <si>
    <t>GB2-01</t>
  </si>
  <si>
    <t>GB201,GB205,GB207</t>
  </si>
  <si>
    <t>어서와요 상업정보에</t>
  </si>
  <si>
    <t>GB2-02</t>
  </si>
  <si>
    <t>GB205,GB208</t>
  </si>
  <si>
    <t>상업 경제 완전정복하기</t>
  </si>
  <si>
    <t>GB2-03</t>
  </si>
  <si>
    <t>GB205,GB206,GB208</t>
  </si>
  <si>
    <t>고2 상업경제 실전모의고사 풀어보기</t>
  </si>
  <si>
    <t>GB2-04</t>
  </si>
  <si>
    <t>GB203,GB204,GB206,GB208</t>
  </si>
  <si>
    <t>상업경제 실전응용편</t>
  </si>
  <si>
    <t>GB2-05</t>
  </si>
  <si>
    <t>GB203,GB205,GB206,GB208</t>
  </si>
  <si>
    <t>정보화와 산업</t>
  </si>
  <si>
    <t>GB3-01</t>
  </si>
  <si>
    <t>GB301</t>
  </si>
  <si>
    <t>한눈에 정리하는 상업경제 로드맵</t>
  </si>
  <si>
    <t>GB3-02</t>
  </si>
  <si>
    <t>GB302,GB303,GB304</t>
  </si>
  <si>
    <t>정보사회에서 상업의 변화</t>
  </si>
  <si>
    <t>GB3-03</t>
  </si>
  <si>
    <t>GB305,GB306,GB308</t>
  </si>
  <si>
    <t>정보화에 따른 공간변화</t>
  </si>
  <si>
    <t>GB3-04</t>
  </si>
  <si>
    <t>GB304,GB308</t>
  </si>
  <si>
    <t>정보 통신의 기능, 종류</t>
  </si>
  <si>
    <t>GB3-05</t>
  </si>
  <si>
    <t>GB301,GB305,GB308</t>
  </si>
  <si>
    <t>고3 상업경제 10분 정리</t>
  </si>
  <si>
    <t>GC1-01</t>
  </si>
  <si>
    <t>GC101,GC102</t>
  </si>
  <si>
    <t>우리나라 농업 기계 기술의 발달 과정</t>
  </si>
  <si>
    <t>GC1-02</t>
  </si>
  <si>
    <t>GC102,GC105,GC106,GC108</t>
  </si>
  <si>
    <t>과학 기술과 농업의 관계</t>
  </si>
  <si>
    <t>GC1-03</t>
  </si>
  <si>
    <t>GC108</t>
  </si>
  <si>
    <t>정밀 농업 기술</t>
  </si>
  <si>
    <t>GC1-04</t>
  </si>
  <si>
    <t>GC107</t>
  </si>
  <si>
    <t>농업 기계 기술의 발달 과정</t>
  </si>
  <si>
    <t>GC1-05</t>
  </si>
  <si>
    <t>GC101,GC103,GC106</t>
  </si>
  <si>
    <t>과학과 농업 기술</t>
  </si>
  <si>
    <t>GC2-01</t>
  </si>
  <si>
    <t>GC201,GC202</t>
  </si>
  <si>
    <t>농산물 생산 기술의 발달 과정</t>
  </si>
  <si>
    <t>GC2-02</t>
  </si>
  <si>
    <t>GC205,GC207,GC208</t>
  </si>
  <si>
    <t>농업과 환경의 관계</t>
  </si>
  <si>
    <t>GC2-03</t>
  </si>
  <si>
    <t>GC205,GC206,GC208</t>
  </si>
  <si>
    <t>농촌 및 농업 구조의 변화</t>
  </si>
  <si>
    <t>GC2-04</t>
  </si>
  <si>
    <t>GC206,GC207</t>
  </si>
  <si>
    <t>[2023 수능완성] 농업기초기술</t>
  </si>
  <si>
    <t>GC2-05</t>
  </si>
  <si>
    <t>GC207,GC208</t>
  </si>
  <si>
    <t>농산물 유통 기술의 발달 과정은 무엇일까</t>
  </si>
  <si>
    <t>GC3-01</t>
  </si>
  <si>
    <t>GC301,GC303,GC306</t>
  </si>
  <si>
    <t>농업의 문제점과 극복 방안</t>
  </si>
  <si>
    <t>GC3-02</t>
  </si>
  <si>
    <t>GC303,GC307</t>
  </si>
  <si>
    <t>친환경 농업 기술</t>
  </si>
  <si>
    <t>GC3-03</t>
  </si>
  <si>
    <t>GC301,GC305,GC308</t>
  </si>
  <si>
    <t>농업기초기술 완벽 정리</t>
  </si>
  <si>
    <t>GC3-04</t>
  </si>
  <si>
    <t>GC301,GC307,GC308</t>
  </si>
  <si>
    <t>식품 가공 기술1</t>
  </si>
  <si>
    <t>GC3-05</t>
  </si>
  <si>
    <t>GC301,GC305,GC307</t>
  </si>
  <si>
    <t>유기 농업 자재에 관하여</t>
  </si>
  <si>
    <t>HA1-01</t>
  </si>
  <si>
    <t>HA101,HA102,HA104,HA105</t>
  </si>
  <si>
    <t>왕초보 중국어 발음</t>
  </si>
  <si>
    <t>HA1-02</t>
  </si>
  <si>
    <t>HA106</t>
  </si>
  <si>
    <t>왕초보 중국어 마스터</t>
  </si>
  <si>
    <t>HA1-03</t>
  </si>
  <si>
    <t>HA107,HA107,HA108</t>
  </si>
  <si>
    <t>기초 중국어 마스터</t>
  </si>
  <si>
    <t>HA1-04</t>
  </si>
  <si>
    <t>HA104,HA105,HA106</t>
  </si>
  <si>
    <t>중국어 어휘 폭풍성장</t>
  </si>
  <si>
    <t>HA1-05</t>
  </si>
  <si>
    <t>HA103,HA108</t>
  </si>
  <si>
    <t>중국어 어법 폭풍성장</t>
  </si>
  <si>
    <t>HA2-01</t>
  </si>
  <si>
    <t>HA201,HA202</t>
  </si>
  <si>
    <t>중국어 문장 뼈대 잡기</t>
  </si>
  <si>
    <t>HA2-02</t>
  </si>
  <si>
    <t>HA206</t>
  </si>
  <si>
    <t>중국어 one POINT one KILL</t>
  </si>
  <si>
    <t>HA2-03</t>
  </si>
  <si>
    <t>HA208</t>
  </si>
  <si>
    <t>중국어 유형별 문제풀이</t>
  </si>
  <si>
    <t>HA2-04</t>
  </si>
  <si>
    <t>HA207,HA208</t>
  </si>
  <si>
    <t>4일만에 끝내는 수능 중국어 100제</t>
  </si>
  <si>
    <t>HA2-05</t>
  </si>
  <si>
    <t>HA202,HA205</t>
  </si>
  <si>
    <t>기초 중국어 끝내기</t>
  </si>
  <si>
    <t>HA3-01</t>
  </si>
  <si>
    <t>HA301,HA302,HA303,HA304</t>
  </si>
  <si>
    <t>중국어의 문장 성분 알아보기</t>
  </si>
  <si>
    <t>HA3-02</t>
  </si>
  <si>
    <t>HA307</t>
  </si>
  <si>
    <t>한눈에 보는 중국어 발음 구성</t>
  </si>
  <si>
    <t>HA3-03</t>
  </si>
  <si>
    <t>HA303</t>
  </si>
  <si>
    <t>중국어 문장의 구조</t>
  </si>
  <si>
    <t>HA3-04</t>
  </si>
  <si>
    <t>HA303,HA307</t>
  </si>
  <si>
    <t>문화 영역 풀이와 유형 분석 해보기</t>
  </si>
  <si>
    <t>HA3-05</t>
  </si>
  <si>
    <t>HA302,HA308</t>
  </si>
  <si>
    <t>중국어의 발음</t>
  </si>
  <si>
    <t>HB1-01</t>
  </si>
  <si>
    <t>HB101</t>
  </si>
  <si>
    <t>일본어 Step 1 개념탄탄</t>
  </si>
  <si>
    <t>HB1-02</t>
  </si>
  <si>
    <t>HB103</t>
  </si>
  <si>
    <t>일본어 수능/내신/어휘도 요것만 봐라!</t>
  </si>
  <si>
    <t>HB1-03</t>
  </si>
  <si>
    <t>HB107,HB108</t>
  </si>
  <si>
    <t>만땅 니홍고_내신 일본어</t>
  </si>
  <si>
    <t>HB1-04</t>
  </si>
  <si>
    <t>HB103,HB104,HB105,HB107</t>
  </si>
  <si>
    <t>고1 일본어 완전정복</t>
  </si>
  <si>
    <t>HB1-05</t>
  </si>
  <si>
    <t>HB102,HB108</t>
  </si>
  <si>
    <t>히라가나와 가타카나를 배워보자</t>
  </si>
  <si>
    <t>HB2-01</t>
  </si>
  <si>
    <t>HB202</t>
  </si>
  <si>
    <t>일본어의 인사말 읽어보기</t>
  </si>
  <si>
    <t>HB2-02</t>
  </si>
  <si>
    <t>HB201,HB202</t>
  </si>
  <si>
    <t>용법에 자주 출제되는 동사 알아보기</t>
  </si>
  <si>
    <t>HB2-03</t>
  </si>
  <si>
    <t>HB205,HB206,HB207,HB208</t>
  </si>
  <si>
    <t>패턴으로 배우는 일본어 회화</t>
  </si>
  <si>
    <t>HB2-04</t>
  </si>
  <si>
    <t>HB204,HB205,HB206,HB208</t>
  </si>
  <si>
    <t>그림으로 배우는 일본어 한자와 작문</t>
  </si>
  <si>
    <t>HB2-05</t>
  </si>
  <si>
    <t>HB201,HB205,HB206,HB207</t>
  </si>
  <si>
    <t>일본어 기본어휘표 알아보기</t>
  </si>
  <si>
    <t>HB3-01</t>
  </si>
  <si>
    <t>HB301,HB302</t>
  </si>
  <si>
    <t>일본어의 활용에 대하여</t>
  </si>
  <si>
    <t>HB3-02</t>
  </si>
  <si>
    <t>HB303,HB305,HB307</t>
  </si>
  <si>
    <t>일본어의 수 단위</t>
  </si>
  <si>
    <t>HB3-03</t>
  </si>
  <si>
    <t>HB301,HB306</t>
  </si>
  <si>
    <t>2주만에 끝내는 일본어 필수 문법</t>
  </si>
  <si>
    <t>HB3-04</t>
  </si>
  <si>
    <t>HB305,HB306</t>
  </si>
  <si>
    <t>OX 약점노트 - 킬러유형</t>
  </si>
  <si>
    <t>HB3-05</t>
  </si>
  <si>
    <t>HB301,HB307</t>
  </si>
  <si>
    <t>20시간만에 완성하는 비즈니스 일본어 회화</t>
  </si>
  <si>
    <t>HC1-01</t>
  </si>
  <si>
    <t>HC101,HC102</t>
  </si>
  <si>
    <t>2023 NEW 차근차근 알아가는 프랑스어 기초문법</t>
  </si>
  <si>
    <t>HC1-02</t>
  </si>
  <si>
    <t>HC108</t>
  </si>
  <si>
    <t>프랑스어 초보자를 위한 프랑스어 작품 추천</t>
  </si>
  <si>
    <t>HC1-03</t>
  </si>
  <si>
    <t>HC105,HC106,HC108</t>
  </si>
  <si>
    <t>프랑스어 알파벳 알아가기</t>
  </si>
  <si>
    <t>HC1-04</t>
  </si>
  <si>
    <t>HC106</t>
  </si>
  <si>
    <t>차근차근 알아가는 프랑스어 기초문법</t>
  </si>
  <si>
    <t>HC1-05</t>
  </si>
  <si>
    <t>HC103,HC105</t>
  </si>
  <si>
    <t>프랑스어 동사의 종류</t>
  </si>
  <si>
    <t>HC2-01</t>
  </si>
  <si>
    <t>HC201</t>
  </si>
  <si>
    <t>근접미래, 근접과거, 반과거의 대하여</t>
  </si>
  <si>
    <t>HC2-02</t>
  </si>
  <si>
    <t>HC205</t>
  </si>
  <si>
    <t>부사와 접속사에 관한 모든것</t>
  </si>
  <si>
    <t>HC2-03</t>
  </si>
  <si>
    <t>HC201,HC203,HC205,HC307</t>
  </si>
  <si>
    <t>2023 수능 프랑스어 대비 문제 50선</t>
  </si>
  <si>
    <t>HC2-04</t>
  </si>
  <si>
    <t>프랑스어의 대한 모든것</t>
  </si>
  <si>
    <t>HC2-05</t>
  </si>
  <si>
    <t>HC207,HC208</t>
  </si>
  <si>
    <t>지시형용사와 소유형용사</t>
  </si>
  <si>
    <t>HC3-01</t>
  </si>
  <si>
    <t>HC301</t>
  </si>
  <si>
    <t>전치사와 전치사구에 대하여</t>
  </si>
  <si>
    <t>HC3-02</t>
  </si>
  <si>
    <t>HC301,HC302,HC303,HC303</t>
  </si>
  <si>
    <t>프랑스어의 발음, 연음</t>
  </si>
  <si>
    <t>HC3-03</t>
  </si>
  <si>
    <t>HC301,HC303,HC304,HC305</t>
  </si>
  <si>
    <t>후딱후딱 해결하는 프랑스어 파이널</t>
  </si>
  <si>
    <t>HC3-04</t>
  </si>
  <si>
    <t>HC306,HC307</t>
  </si>
  <si>
    <t>차곡차곡 완성하는 프랑스어 의사소통</t>
  </si>
  <si>
    <t>HC3-05</t>
  </si>
  <si>
    <t>HC307,HC308</t>
  </si>
  <si>
    <t>뚝딱뚝딱 적용하는 프랑스어 심화문법</t>
  </si>
  <si>
    <t>학생번호</t>
  </si>
  <si>
    <t>강의번호</t>
  </si>
  <si>
    <t>수강시작일</t>
  </si>
  <si>
    <t>수강종료일</t>
  </si>
  <si>
    <t>신청일</t>
  </si>
  <si>
    <t>결제일</t>
  </si>
  <si>
    <t>결제금액</t>
  </si>
  <si>
    <t>상태</t>
  </si>
  <si>
    <t>수강중</t>
  </si>
  <si>
    <t>신청</t>
  </si>
  <si>
    <t>수강완료</t>
  </si>
  <si>
    <t>EA206</t>
  </si>
  <si>
    <t>BB203</t>
  </si>
  <si>
    <t>AC202</t>
  </si>
  <si>
    <t>HB207</t>
  </si>
  <si>
    <t>GB208</t>
  </si>
  <si>
    <t>AA103</t>
  </si>
  <si>
    <t>EB303</t>
  </si>
  <si>
    <t>CB302</t>
  </si>
  <si>
    <t>FC307</t>
  </si>
  <si>
    <t>FB201</t>
  </si>
  <si>
    <t>DB301</t>
  </si>
  <si>
    <t>EA305</t>
  </si>
  <si>
    <t>CC103</t>
  </si>
  <si>
    <t>GB204</t>
  </si>
  <si>
    <t>DB204</t>
  </si>
  <si>
    <t>AC305</t>
  </si>
  <si>
    <t>CB303</t>
  </si>
  <si>
    <t>GB203</t>
  </si>
  <si>
    <t>GC104</t>
  </si>
  <si>
    <t>교재코드</t>
  </si>
  <si>
    <t>교재명</t>
  </si>
  <si>
    <t>판매가</t>
  </si>
  <si>
    <t>2022 자이스토리 수능 국어 문학 기본</t>
  </si>
  <si>
    <t>중3 고1 비문학독해연습</t>
  </si>
  <si>
    <t>2022 full 수록 고1 기출문제집 기본문학</t>
  </si>
  <si>
    <t>AA104</t>
  </si>
  <si>
    <t>유형플러스 씨뮬 전국연합학력평가 기출문제집 고1 국어 문학</t>
  </si>
  <si>
    <t>AA105</t>
  </si>
  <si>
    <t>2022 마더텅 전국연합 학력평가 기출문제집 고1 국어 문학</t>
  </si>
  <si>
    <t>AA106</t>
  </si>
  <si>
    <t>문학 비책</t>
  </si>
  <si>
    <t>AA107</t>
  </si>
  <si>
    <t>수능개념 국어 김기훈의 절대감각 문학</t>
  </si>
  <si>
    <t>AA108</t>
  </si>
  <si>
    <t>혜원국어 신의 한 수 문학편</t>
  </si>
  <si>
    <t>AA201</t>
  </si>
  <si>
    <t>고2 문학 기출스토리</t>
  </si>
  <si>
    <t>AA202</t>
  </si>
  <si>
    <t>2022 마더텅 전국연합 학력평가 기출문제집 고2 국어 문학</t>
  </si>
  <si>
    <t>AA203</t>
  </si>
  <si>
    <t>버블티 고2 문학 교과서 작품편 1권 비상</t>
  </si>
  <si>
    <t>버블티 고2 문학 교과서 작품편 1권 미래엔</t>
  </si>
  <si>
    <t>AA205</t>
  </si>
  <si>
    <t>버블티 고2 문학 교과서 작품편 1권 신사고</t>
  </si>
  <si>
    <t>AA206</t>
  </si>
  <si>
    <t>상상내공 EBS 수능특강 평가문제짐 문학(상)</t>
  </si>
  <si>
    <t>AA207</t>
  </si>
  <si>
    <t>매3문 매일 지문 3개씩 푸는 문학 수능 기출</t>
  </si>
  <si>
    <t>AA208</t>
  </si>
  <si>
    <t>한권에 잡히는 고전문학</t>
  </si>
  <si>
    <t>AA301</t>
  </si>
  <si>
    <t>2023학년도 수능 연계교재 수능특강 국어영역 문학</t>
  </si>
  <si>
    <t>AA302</t>
  </si>
  <si>
    <t>유형플러스 씨뮬 수능 기출 문제집 고3 국어 문학</t>
  </si>
  <si>
    <t>AA303</t>
  </si>
  <si>
    <t>메가스터디 수능 기출 분석서 6주 완성 문학</t>
  </si>
  <si>
    <t>AA304</t>
  </si>
  <si>
    <t>2023 예비 고3을 위한 3주 완성 수능기출 국어문학 300제</t>
  </si>
  <si>
    <t>AA305</t>
  </si>
  <si>
    <t>해법문학 수필 및 극</t>
  </si>
  <si>
    <t>AA306</t>
  </si>
  <si>
    <t>EBS 수능특강 연계 문학작품 연계 기출1</t>
  </si>
  <si>
    <t>AA307</t>
  </si>
  <si>
    <t>피램 고등 국어 문학 생각의 전개</t>
  </si>
  <si>
    <t>AA308</t>
  </si>
  <si>
    <t>고등 문학 개념어 몽땅벗기기</t>
  </si>
  <si>
    <t>2022 마더텅 전국연합 학력평가 기출문제집 고1 국어 독서</t>
  </si>
  <si>
    <t>AB102</t>
  </si>
  <si>
    <t>2022 자이스토리 수능 국어 독서 기본</t>
  </si>
  <si>
    <t>AB103</t>
  </si>
  <si>
    <t>2022 full 수록 고1 기출문제집 기본독서</t>
  </si>
  <si>
    <t>유형플러스 씨뮬 전국연합학력평가 기출문제집 고1 국어 독서</t>
  </si>
  <si>
    <t>AB105</t>
  </si>
  <si>
    <t>2022 100발 100중 전국연합 학력평가 기출 및 변형문제집 고1 국어 독서</t>
  </si>
  <si>
    <t>AB106</t>
  </si>
  <si>
    <t>EBSi 강의교재 고난도 독서 김철회의 난공불락 독서 격파 시즌1</t>
  </si>
  <si>
    <t>AB107</t>
  </si>
  <si>
    <t>EBS 수능특강 고등 국어영역 독서</t>
  </si>
  <si>
    <t>AB108</t>
  </si>
  <si>
    <t>피램 고등 국어 생각의 전개 독서</t>
  </si>
  <si>
    <t>AB201</t>
  </si>
  <si>
    <t>2022 마더텅 전국연합 학력평가 기출문제집 고2 국어 독서</t>
  </si>
  <si>
    <t>AB202</t>
  </si>
  <si>
    <t>유형플러스 씨뮬 전국연합학력평가 기출문제집 고2 국어 독서</t>
  </si>
  <si>
    <t>AB203</t>
  </si>
  <si>
    <t>2022 100발 100중 전국연합 학력평가 기출 및 변형문제집 고2 국어 독서</t>
  </si>
  <si>
    <t>AB204</t>
  </si>
  <si>
    <t>메가스터디 고2 비문학독서 230제</t>
  </si>
  <si>
    <t>메가스터디 N제 고2 비문학독서 230제</t>
  </si>
  <si>
    <t>AB206</t>
  </si>
  <si>
    <t>메가스터디 EBS 수능특강 변형 국어 독서 110제</t>
  </si>
  <si>
    <t>AB207</t>
  </si>
  <si>
    <t>피램 수능 국어 생각의 전개 독서 2</t>
  </si>
  <si>
    <t>AB208</t>
  </si>
  <si>
    <t>메가스터디 N제 국어영역 독서 215제</t>
  </si>
  <si>
    <t>고3~N수 수능독서 배경지식</t>
  </si>
  <si>
    <t>AB302</t>
  </si>
  <si>
    <t>유형플러스 씨뮬 수능 기출 문제집 고3 국어 독서</t>
  </si>
  <si>
    <t>AB303</t>
  </si>
  <si>
    <t>2023 수능대비 예비 고3을 위한 3주 완성 수능기출 국어독서 300제</t>
  </si>
  <si>
    <t>AB304</t>
  </si>
  <si>
    <t>15분 모의고사 국어 독서 (2022년용)</t>
  </si>
  <si>
    <t>AB305</t>
  </si>
  <si>
    <t>2023 마더텅 수능기출문제집 국어 독서</t>
  </si>
  <si>
    <t>AB306</t>
  </si>
  <si>
    <t>상상국어N제 수능 출제자가 만든 독서</t>
  </si>
  <si>
    <t>최단기 국어 1등급 만들기 비문학 독서</t>
  </si>
  <si>
    <t>AB308</t>
  </si>
  <si>
    <t>EBS 수능특강 국어영역 독서</t>
  </si>
  <si>
    <t>핵심체크 고1 유형별 화법 및 작문 및 문법 172제 (2016년)</t>
  </si>
  <si>
    <t>AC102</t>
  </si>
  <si>
    <t>예비 고1 유형별 문법 및 화법 및 작문 고1 국어영역 (2016년)</t>
  </si>
  <si>
    <t>AC103</t>
  </si>
  <si>
    <t>531 프로젝트 PROJECT 문법·화법·작문 개념을 빠르게 S (2018년용)</t>
  </si>
  <si>
    <t>AC104</t>
  </si>
  <si>
    <t>쓱싹 화법과 작문 고등 (2020)</t>
  </si>
  <si>
    <t>수능 기출의 바이블 국어 화법과 작문 (2021)</t>
  </si>
  <si>
    <t>AC106</t>
  </si>
  <si>
    <t>EBS 수능특강 국어영역 화법과 작문</t>
  </si>
  <si>
    <t>AC107</t>
  </si>
  <si>
    <t>수능백전백승 EBS 완벽분석 최종점검 화법과 작문</t>
  </si>
  <si>
    <t>AC108</t>
  </si>
  <si>
    <t>EBS 수능특강 국어영역 화법.작문.언어</t>
  </si>
  <si>
    <t>AC201</t>
  </si>
  <si>
    <t>자이스토리 수능 국어 문법 실전+화법 작문 실전 (2021)</t>
  </si>
  <si>
    <t>수능전략 국어영역 화법과 작문 (2022)</t>
  </si>
  <si>
    <t>AC203</t>
  </si>
  <si>
    <t>지금필수 고등 국어영역 화법과 작문 (2021)</t>
  </si>
  <si>
    <t>밥 먹듯이 매일매일 화법과 작문 (2022)(2023 수능대비)</t>
  </si>
  <si>
    <t>AC205</t>
  </si>
  <si>
    <t>섹션뽀개기 실전편 화법과 작문 (2022)</t>
  </si>
  <si>
    <t>종로 수능대비 화법 작문 문법</t>
  </si>
  <si>
    <t>AC207</t>
  </si>
  <si>
    <t>작문과 화법</t>
  </si>
  <si>
    <t>AC208</t>
  </si>
  <si>
    <t>EBSi 강의교재 수능개념 국어 변아영의 개념 쏙쏙 기출 탁.화.작.문</t>
  </si>
  <si>
    <t>AC301</t>
  </si>
  <si>
    <t>리얼 오리지널 수능기출 선택과목 25회 모의고사-고3 화법과 작문 (2021)</t>
  </si>
  <si>
    <t>AC302</t>
  </si>
  <si>
    <t>10분 FIT 모의고사 화법과 작문 (2021)(2022 수능대비)</t>
  </si>
  <si>
    <t>AC303</t>
  </si>
  <si>
    <t>FULL 수록 수능기출문제집-국어 화법과 작문 (2022)(2023 수능대비)</t>
  </si>
  <si>
    <t>AC304</t>
  </si>
  <si>
    <t>일단락 국어 화법과 작문 (2020)</t>
  </si>
  <si>
    <t>홀수 국어 기출 훈련도구-화법과 작문 (2021)</t>
  </si>
  <si>
    <t>AC306</t>
  </si>
  <si>
    <t>EBS 수능 기출의 미래 국어영역 언어(문법) 화법 작문</t>
  </si>
  <si>
    <t>AC307</t>
  </si>
  <si>
    <t>K 화법.작문.문법</t>
  </si>
  <si>
    <t>AC308</t>
  </si>
  <si>
    <t>고단백 수능 단기특강 고등 국어영역 화법과 작문</t>
  </si>
  <si>
    <t>AD101</t>
  </si>
  <si>
    <t>10분 FIT 모의고사 언어와 매체 (2022)(2023 수능대비)</t>
  </si>
  <si>
    <t>AD102</t>
  </si>
  <si>
    <t>15분 모의고사 국어 언어와 매체</t>
  </si>
  <si>
    <t>수능주도권 국어영역 언어와 매체 (2021)</t>
  </si>
  <si>
    <t>AD104</t>
  </si>
  <si>
    <t>홀수 국어 기출 훈련도구-언어와 매체 (2021)</t>
  </si>
  <si>
    <t>AD105</t>
  </si>
  <si>
    <t>EBS 올림포스 언어와 매체 (2020)</t>
  </si>
  <si>
    <t>AD201</t>
  </si>
  <si>
    <t>수능전략 국어영역 언어와 매체 (2022)</t>
  </si>
  <si>
    <t>수능 기출의 바이블 국어 언어와 매체 (2021)</t>
  </si>
  <si>
    <t>AD203</t>
  </si>
  <si>
    <t>밥 먹듯이 매일매일 언어와 매체 (2022)(2023 수능대비)</t>
  </si>
  <si>
    <t>AD204</t>
  </si>
  <si>
    <t>섹션뽀개기 실전편 언어와 매체 (2022)</t>
  </si>
  <si>
    <t>AD205</t>
  </si>
  <si>
    <t>나기출 나 없이 기출 풀지 마라 언어와 매체(문제+해설) (2021)</t>
  </si>
  <si>
    <t>AD301</t>
  </si>
  <si>
    <t>리얼 오리지널 수능기출 선택과목 25회 모의고사-고3 언어와 매체 (2021)</t>
  </si>
  <si>
    <t>AD302</t>
  </si>
  <si>
    <t>매일 개념 3개씩 공부하는 언어와 매체 수능 기출 (2021)(매3문법)</t>
  </si>
  <si>
    <t>AD303</t>
  </si>
  <si>
    <t>상상국어 N제-언어와 매체 (2022)(2023 수능 대비)</t>
  </si>
  <si>
    <t>AD304</t>
  </si>
  <si>
    <t>능률 EBS 수능특강 변형 문 192제-언어와 매체 (2021)</t>
  </si>
  <si>
    <t>AD305</t>
  </si>
  <si>
    <t>피램 국어 생각의 발단-언어와 매체편 (2022)</t>
  </si>
  <si>
    <t>BA101</t>
  </si>
  <si>
    <t>예비 고1 쉬운 수학1 2점짜리+3점짜리 (2016)</t>
  </si>
  <si>
    <t>BA102</t>
  </si>
  <si>
    <t>쉽게풀자 용기100배 수학영역 수학1 고1 새교육과정 (2014)</t>
  </si>
  <si>
    <t>BA103</t>
  </si>
  <si>
    <t>핵심체크 고1 단원별 수학1 300제 (2016)</t>
  </si>
  <si>
    <t>BA104</t>
  </si>
  <si>
    <t>메가스터디 빅데이터 첫 기출 문제집 고1 수학영역 수학1(2016)</t>
  </si>
  <si>
    <t>예비 고1 어려운 수학1 4점짜리(2016)</t>
  </si>
  <si>
    <t>BA106</t>
  </si>
  <si>
    <t>EBS 수능특강 수학영역 수학1</t>
  </si>
  <si>
    <t>BA107</t>
  </si>
  <si>
    <t>EBS 올림포스 수학1</t>
  </si>
  <si>
    <t>BA108</t>
  </si>
  <si>
    <t>종로교재 수학 영역 수학1</t>
  </si>
  <si>
    <t>BA201</t>
  </si>
  <si>
    <t>자이스토리 고2 수학1(2020)-강남구청 인터넷 수능방송 강의교재</t>
  </si>
  <si>
    <t>BA202</t>
  </si>
  <si>
    <t>마더텅 전국연합 학력평가 기출 20분 미니모의고사 24회 고2 수학1(2022)</t>
  </si>
  <si>
    <t>마더텅 전국연합 학력평가 기출문제집-고2 수학1(2022)</t>
  </si>
  <si>
    <t>수학의 샘-수학1(2019년 고2용)</t>
  </si>
  <si>
    <t>BA205</t>
  </si>
  <si>
    <t>자이스토리 고2 수학 1 1001제(2019)</t>
  </si>
  <si>
    <t>한완수 고등 수학1 (상)</t>
  </si>
  <si>
    <t>BA207</t>
  </si>
  <si>
    <t>한완수 고등 수학1 (중)</t>
  </si>
  <si>
    <t>BA208</t>
  </si>
  <si>
    <t>한완수 고등 수학1 (하)</t>
  </si>
  <si>
    <t>BA301</t>
  </si>
  <si>
    <t>씨뮬 10TH 수능기출 최신 1년간 모의고사-고3 수학(2022)(2023 수능대비)</t>
  </si>
  <si>
    <t>BA302</t>
  </si>
  <si>
    <t>자이스토리 고3 수학 1(2021)</t>
  </si>
  <si>
    <t>BA303</t>
  </si>
  <si>
    <t>2023 수능대비 자이스토리 고3 수학 1(2022)</t>
  </si>
  <si>
    <t>BA304</t>
  </si>
  <si>
    <t>올필 1개년 모의고사모음집-고3 수학 A(2014)</t>
  </si>
  <si>
    <t>BA305</t>
  </si>
  <si>
    <t>고등 수학영역 고3 전국연합 3개년 18회 모의고사(2021)(TOP CLASS)</t>
  </si>
  <si>
    <t>BA306</t>
  </si>
  <si>
    <t>마플시너지 고등수학 1</t>
  </si>
  <si>
    <t>BA307</t>
  </si>
  <si>
    <t>수력충전 고등 수학 1</t>
  </si>
  <si>
    <t>BA308</t>
  </si>
  <si>
    <t>규토 라이트 N제 고등 수학1</t>
  </si>
  <si>
    <t>핵심체크 고1 단원별 수학2 300제(2016)</t>
  </si>
  <si>
    <t>BB102</t>
  </si>
  <si>
    <t>쉽게풀자 용기100배 수학영역 수학2 고1 새교육과정(2014)</t>
  </si>
  <si>
    <t>BB103</t>
  </si>
  <si>
    <t>자이스토리 고1 수학2 929제(2017)</t>
  </si>
  <si>
    <t>BB104</t>
  </si>
  <si>
    <t>메가스터디 고1 수학2 400제(2016)</t>
  </si>
  <si>
    <t>자이스토리 고1 수학2 932제(2016)</t>
  </si>
  <si>
    <t>BB106</t>
  </si>
  <si>
    <t>EBS 수능 특강 고등 수학영역 수학2</t>
  </si>
  <si>
    <t>BB107</t>
  </si>
  <si>
    <t>신사고 쎈 고등 수학2</t>
  </si>
  <si>
    <t>BB108</t>
  </si>
  <si>
    <t>EBS 수능특강 Q 미니모의고사 고등 수학영역 수학2</t>
  </si>
  <si>
    <t>BB201</t>
  </si>
  <si>
    <t>자이스토리 고2 수학2(2022)</t>
  </si>
  <si>
    <t>BB202</t>
  </si>
  <si>
    <t>마더텅 수능기출 전국연합 학력평가 20분 미니모의고사 24회 고2 수학2(2022)</t>
  </si>
  <si>
    <t>마더텅 전국연합 학력평가 기출문제집-고2 수학2(2022)</t>
  </si>
  <si>
    <t>BB204</t>
  </si>
  <si>
    <t>마더텅 전국연합 학력평가 기출문제집-고2 수학2(2021)</t>
  </si>
  <si>
    <t>BB205</t>
  </si>
  <si>
    <t>너기출 새교육과정 수학 2-고2(2015 교육과정)(2019)</t>
  </si>
  <si>
    <t>BB206</t>
  </si>
  <si>
    <t>수력충전 고등 수학 2</t>
  </si>
  <si>
    <t>BB207</t>
  </si>
  <si>
    <t>기출의 파급효과 고등 수학2</t>
  </si>
  <si>
    <t>랑데부 N제 쉬사준킬 고등 수학2</t>
  </si>
  <si>
    <t>BB301</t>
  </si>
  <si>
    <t>2023 수능대비 자이스토리 고3 수학2(2022)</t>
  </si>
  <si>
    <t>BB302</t>
  </si>
  <si>
    <t>자이스토리 고3 수학 2 885제(2017)</t>
  </si>
  <si>
    <t>BB303</t>
  </si>
  <si>
    <t>자이스토리 고3 수학 2(2021)</t>
  </si>
  <si>
    <t>BB304</t>
  </si>
  <si>
    <t>마더텅 수능기출문제집 고등 수학2(2022)(2023 대비)</t>
  </si>
  <si>
    <t>BB305</t>
  </si>
  <si>
    <t>월별모의고사족보 대학수학능력시험-고3 수학(B형)(2015 대비)</t>
  </si>
  <si>
    <t>EBS 단기특강 고등 수학2</t>
  </si>
  <si>
    <t>BB307</t>
  </si>
  <si>
    <t>EBS 수능감잡기 고등 수학영역 수학2</t>
  </si>
  <si>
    <t>BB308</t>
  </si>
  <si>
    <t>수학중심 고등 수학2</t>
  </si>
  <si>
    <t>EBS 올림포스 미적분(2018년 고1용)</t>
  </si>
  <si>
    <t>EBS 올림포스 닥터링 미적분(2018년 고1용)</t>
  </si>
  <si>
    <t>BC103</t>
  </si>
  <si>
    <t>미적분으로 바라본 하루:일상 속 어디에나 있는 수학 찾기</t>
  </si>
  <si>
    <t>BC104</t>
  </si>
  <si>
    <t>미적분에 빠진 하루 : 골디락스 접근법을 활용한 새로운 미적분 교과서</t>
  </si>
  <si>
    <t>BC105</t>
  </si>
  <si>
    <t>다시 미분 적분</t>
  </si>
  <si>
    <t>BC106</t>
  </si>
  <si>
    <t>EBS 수능특강 고등 수학영역 미적분</t>
  </si>
  <si>
    <t>BC107</t>
  </si>
  <si>
    <t>EBS 수능특강 Q 미니모의고사 고등 수학영역 미적분</t>
  </si>
  <si>
    <t>BC108</t>
  </si>
  <si>
    <t>메가스터디 N제 고등 수학영역 미적분 362제</t>
  </si>
  <si>
    <t>BC201</t>
  </si>
  <si>
    <t>자이스토리 고2 미적분 2 1019제(2019)</t>
  </si>
  <si>
    <t>BC202</t>
  </si>
  <si>
    <t>자이스토리 고2 미적분 2 764제(2015)</t>
  </si>
  <si>
    <t>BC203</t>
  </si>
  <si>
    <t>자이스토리 고2 미적분(2020)</t>
  </si>
  <si>
    <t>BC204</t>
  </si>
  <si>
    <t>메가스터디 고2 미적분 2 410제(2016)</t>
  </si>
  <si>
    <t>BC205</t>
  </si>
  <si>
    <t>아샘 Hi Math 미적분-고2(2019)</t>
  </si>
  <si>
    <t>BC206</t>
  </si>
  <si>
    <t>신사고 SSEN 쎈 고등 미적분</t>
  </si>
  <si>
    <t>BC207</t>
  </si>
  <si>
    <t>마플시너지 고등 미적분 내신대비 문제짐</t>
  </si>
  <si>
    <t>BC208</t>
  </si>
  <si>
    <t>EBC 수능 스타트 고등 수학영역 미적분</t>
  </si>
  <si>
    <t>리얼 오리지널 수능기출 선택과목 22회 모의고사-고3 미적분(2021)</t>
  </si>
  <si>
    <t>BC302</t>
  </si>
  <si>
    <t>기출의 고백 M 고3 미적분(2021)</t>
  </si>
  <si>
    <t>BC303</t>
  </si>
  <si>
    <t>자이스토리 고3 미적분(2020)-강남구청 인터넷 수능방송 강의교재</t>
  </si>
  <si>
    <t>BC304</t>
  </si>
  <si>
    <t>2023 수능대비 자이스토리 고3 미적분(2022)</t>
  </si>
  <si>
    <t>BC305</t>
  </si>
  <si>
    <t>자이스토리 고3 미적분(2021)</t>
  </si>
  <si>
    <t>BC306</t>
  </si>
  <si>
    <t>한완수 고등 미적분(상) 교과.실전개념</t>
  </si>
  <si>
    <t>BC307</t>
  </si>
  <si>
    <t>531 프로젝트 빠르게 고등  수학 미적분 S</t>
  </si>
  <si>
    <t>BC308</t>
  </si>
  <si>
    <t>개념 쎈 고등 미적분</t>
  </si>
  <si>
    <t>매일 3단계로 푸는 영어독해 전국연합 학력평가 기출-고1(매3영)(2022)</t>
  </si>
  <si>
    <t>CA102</t>
  </si>
  <si>
    <t>매일 3단계로 푸는 영어독해 교육청 기출 고1</t>
  </si>
  <si>
    <t>CA103</t>
  </si>
  <si>
    <t>EBS 올림포스 고등 전국연합학력평가 기출문제집-고1 영어독해(2021)</t>
  </si>
  <si>
    <t>CA104</t>
  </si>
  <si>
    <t>기출의 고백 고1 영어독해(2019)</t>
  </si>
  <si>
    <t>CA105</t>
  </si>
  <si>
    <t>대입수능 영어독해 3단계 16유형분석-고1</t>
  </si>
  <si>
    <t>CA106</t>
  </si>
  <si>
    <t>EBS 수능특강 고등 영어영역 영어독해연습</t>
  </si>
  <si>
    <t>CA107</t>
  </si>
  <si>
    <t>EBS 수능특강 LIGHT 영어 독해</t>
  </si>
  <si>
    <t>E 모든 변형문제 고등 영어독해연습 수능특강</t>
  </si>
  <si>
    <t>CA201</t>
  </si>
  <si>
    <t>매일 3단계로 푸는 영어독해 전국연합 학력평가 기출-고2(2019)(매3영)</t>
  </si>
  <si>
    <t>CA202</t>
  </si>
  <si>
    <t>매일 3단계로 푸는 영어독해 전국연합 학력평가 기출-고2(2022)(매3영)</t>
  </si>
  <si>
    <t>CA203</t>
  </si>
  <si>
    <t>매일 지문3개씩 푸는 영어독해 교육청기출 고2(2015수능대비)</t>
  </si>
  <si>
    <t>CA204</t>
  </si>
  <si>
    <t>EBS 올림포스 고등 전국연합학력평가 기출문제집-고2 영어독해(2021)</t>
  </si>
  <si>
    <t>리얼 오리지널 전국연합 학력평가 기출 모의고사 5개년 20회-고2 영어 독해(2022)</t>
  </si>
  <si>
    <t>CA206</t>
  </si>
  <si>
    <t>EBS 단기특강 고등 영어독해 유형편</t>
  </si>
  <si>
    <t>CA207</t>
  </si>
  <si>
    <t>종로교재 고등 영어 유형 독해</t>
  </si>
  <si>
    <t>CA208</t>
  </si>
  <si>
    <t>종로교재 고등 영어 구문 독해</t>
  </si>
  <si>
    <t>CA301</t>
  </si>
  <si>
    <t>마더텅 수능기출 20분 고난도 미니 모의고사 12회-고3 영어독해(2021)</t>
  </si>
  <si>
    <t>CA302</t>
  </si>
  <si>
    <t>씨뮬 핵심 유형 하프 모의고사-고3 영어독해(2015)-최신 1년간 모든 기출</t>
  </si>
  <si>
    <t>CA303</t>
  </si>
  <si>
    <t>대입수능 영어독해 3단계 16유형분석-고3</t>
  </si>
  <si>
    <t>CA304</t>
  </si>
  <si>
    <t>다빈출코드 수능기출문제집 영어영역 고3 독해(2019)</t>
  </si>
  <si>
    <t>CA305</t>
  </si>
  <si>
    <t>4개년 유형별 수능기출 고3 영어 독해 600제(2015)</t>
  </si>
  <si>
    <t>CA306</t>
  </si>
  <si>
    <t>EBS 단기특강 고등 영어독해 어법편</t>
  </si>
  <si>
    <t>CA307</t>
  </si>
  <si>
    <t>FULL 수록 고등 영어 독해 수능기출문제집</t>
  </si>
  <si>
    <t>컨셉 고등 영어독해 약점유형 모의고사 20회</t>
  </si>
  <si>
    <t>CB101</t>
  </si>
  <si>
    <t>완벽한 동사 암기법(영어 공부! 99% 혼자 할 수 있다 1)</t>
  </si>
  <si>
    <t>CB102</t>
  </si>
  <si>
    <t>나 혼자만 알고 싶은 영어책-매운맛 Vol 1</t>
  </si>
  <si>
    <t>CB103</t>
  </si>
  <si>
    <t>이근철랭킹영어1문법동사편</t>
  </si>
  <si>
    <t>CB104</t>
  </si>
  <si>
    <t>절대 헷갈리지 않는 영문법(영어 공부! 99% 혼자 할 수 있다 2)</t>
  </si>
  <si>
    <t>영어문법 Check(영어실력 쑥쑥 올려주는)</t>
  </si>
  <si>
    <t>CB106</t>
  </si>
  <si>
    <t>쎄듀 고등 본영어 문법편</t>
  </si>
  <si>
    <t>CB107</t>
  </si>
  <si>
    <t>쎄듀 고등 본영어 문법적용편</t>
  </si>
  <si>
    <t>CB108</t>
  </si>
  <si>
    <t>내신전략 고등 영어 문법</t>
  </si>
  <si>
    <t>CB201</t>
  </si>
  <si>
    <t>영어를 포기하면 행복해진다!</t>
  </si>
  <si>
    <t>CB202</t>
  </si>
  <si>
    <t>심우철 합격영어 2-문법(2020)</t>
  </si>
  <si>
    <t>CB203</t>
  </si>
  <si>
    <t>진짜녀석들 REAL ENGLISH 2-기초영어</t>
  </si>
  <si>
    <t>PASS 통합영어 어휘.표현.생활영어(2019)</t>
  </si>
  <si>
    <t>CB205</t>
  </si>
  <si>
    <t>나 혼자만 알고 싶은 영어책-매운맛 Vol 2</t>
  </si>
  <si>
    <t>CB206</t>
  </si>
  <si>
    <t>스카이 고등학교 영어문법</t>
  </si>
  <si>
    <t>CB207</t>
  </si>
  <si>
    <t>단권화 영어영역 문법 단권화</t>
  </si>
  <si>
    <t>다트 고등 문법편</t>
  </si>
  <si>
    <t>CB301</t>
  </si>
  <si>
    <t>영어로 문장을 만들 수 있다-어순 문법 집중</t>
  </si>
  <si>
    <t>영어 평가 문항 개발의 실제(한국영어 교과교육학회 총서 4)</t>
  </si>
  <si>
    <t>학습영문법 SCHOOL ENGLISH GRAMMAR (제2판)</t>
  </si>
  <si>
    <t>CB304</t>
  </si>
  <si>
    <t>문법의 마무리</t>
  </si>
  <si>
    <t>이현아 콤팩트 영어 기출문제풀이 1.0</t>
  </si>
  <si>
    <t>CB306</t>
  </si>
  <si>
    <t>단호박 외국여(영어)문법특강</t>
  </si>
  <si>
    <t>CB307</t>
  </si>
  <si>
    <t>시작부터 확 다른 영어문법</t>
  </si>
  <si>
    <t>CB308</t>
  </si>
  <si>
    <t>대한민국에서 가장 쉬운 문법책</t>
  </si>
  <si>
    <t>이유있는 초이스 영어듣기 말하기 9년간 모의고사 고1 영어(2017)</t>
  </si>
  <si>
    <t>예비 고1 유형별 영어듣기(2016)</t>
  </si>
  <si>
    <t>예비 고1 중학 영어듣기 총정리 30일 완성(2018)</t>
  </si>
  <si>
    <t>CC104</t>
  </si>
  <si>
    <t>리얼 오리지널 전국연합 학력평가 24회 모의고사-고1 영어듣기(2021)</t>
  </si>
  <si>
    <t>CC105</t>
  </si>
  <si>
    <t>미래로 고1 기출문제집-영어듣기(2014)</t>
  </si>
  <si>
    <t>CC106</t>
  </si>
  <si>
    <t>EBS 수능특강 고등 영어영역 영어듣기</t>
  </si>
  <si>
    <t>CC107</t>
  </si>
  <si>
    <t>수능만만 고등 영어듣기 20회 기본</t>
  </si>
  <si>
    <t>CC108</t>
  </si>
  <si>
    <t>수능만만 고등 기본 영어듣기 모의고사 35+5회</t>
  </si>
  <si>
    <t>CC201</t>
  </si>
  <si>
    <t>이유있는 초이스 고2-영어듣기 말하기 최근6개년 기출모음집</t>
  </si>
  <si>
    <t>CC202</t>
  </si>
  <si>
    <t>시험과 똑같은 5배속 고교영어듣기 25회모의고사 고2(2012)</t>
  </si>
  <si>
    <t>리얼 오리지널 전국연합 학력평가 24회 모의고사-고2 영어 듣기(2021)</t>
  </si>
  <si>
    <t>CC204</t>
  </si>
  <si>
    <t>이유있는 초이스 고2 -영어 듣기 말하기 7년간 전국연합 모의고사(2015)</t>
  </si>
  <si>
    <t>CC205</t>
  </si>
  <si>
    <t>100% 실전대비 MP3 고교영어듣기 24회 모의고사 2학년(2021)</t>
  </si>
  <si>
    <t>CC206</t>
  </si>
  <si>
    <t xml:space="preserve">종로교재 고등 영어듣기 </t>
  </si>
  <si>
    <t>CC207</t>
  </si>
  <si>
    <t>CC208</t>
  </si>
  <si>
    <t>고등영어듣기끝</t>
  </si>
  <si>
    <t>CC301</t>
  </si>
  <si>
    <t>리얼 오리지널 수능기출 학력평가 35회 모의고사-고3 영어 듣기(2021)</t>
  </si>
  <si>
    <t>CC302</t>
  </si>
  <si>
    <t>이유있는 초이스 고3-영어 듣기 말하기 8년간 모의고사(2016)</t>
  </si>
  <si>
    <t>CC303</t>
  </si>
  <si>
    <t>이유있는 초이스 영어 듣기.말하기 10년간 모의고사 고3 영어(2018)</t>
  </si>
  <si>
    <t>CC304</t>
  </si>
  <si>
    <t>듣보잡 듣기를 보면서 잡는다 ORIGINAL-3주 만에 끝내는 영어 듣기 독학서(2022)(2023 수능대비)</t>
  </si>
  <si>
    <t>CC305</t>
  </si>
  <si>
    <t>필수 기본 영어회화</t>
  </si>
  <si>
    <t>EBSi강의교재 김태우의 고교영어듣기 분석특강 2</t>
  </si>
  <si>
    <t>CC307</t>
  </si>
  <si>
    <t>EBS 수능특강 영어영역 영어듣기</t>
  </si>
  <si>
    <t>CC308</t>
  </si>
  <si>
    <t>EBS 수능특강 유사 변형 영어영역 영어듣기 123제</t>
  </si>
  <si>
    <t>씨뮬 최신 1년간 기출 모의고사-한국사 고1(2016)</t>
  </si>
  <si>
    <t>EBS 필수 한국사-고1(2016)</t>
  </si>
  <si>
    <t>DA103</t>
  </si>
  <si>
    <t>메가스터디 고1 한국사 910제(2016)</t>
  </si>
  <si>
    <t>DA104</t>
  </si>
  <si>
    <t>1학년 2학기 중간고사 &amp; 9월 모의고사-고1 한국사.고등사회.고등과학 480제(2017)</t>
  </si>
  <si>
    <t>리얼리티 한국사 6개년 모의고사 고1-24회(2020)</t>
  </si>
  <si>
    <t>DA106</t>
  </si>
  <si>
    <t>EBS 수능특강 고등 한국사영역 한국사</t>
  </si>
  <si>
    <t>DA107</t>
  </si>
  <si>
    <t>메가스터디 N제 한국사 고1 1200제</t>
  </si>
  <si>
    <t>DA108</t>
  </si>
  <si>
    <t>EBS 수능특강 Q 미니모의고사 고등 한국사영역 한국사</t>
  </si>
  <si>
    <t>DA201</t>
  </si>
  <si>
    <t>씨뮬 최신 1년간 기출모의고사-한국사 고2(2016)</t>
  </si>
  <si>
    <t>DA202</t>
  </si>
  <si>
    <t>씨뮬 최신 1년간 기출 모의고사-고2 한국사(2015)</t>
  </si>
  <si>
    <t>DA203</t>
  </si>
  <si>
    <t>자이스토리 내신 한국사(고1, 고2) 544제(2019)</t>
  </si>
  <si>
    <t>DA204</t>
  </si>
  <si>
    <t>단비 한국사능력검정시험 기출문제 분석-고급(1,2급)</t>
  </si>
  <si>
    <t>DA205</t>
  </si>
  <si>
    <t>2시간에 끝내는 트와이스 한국사</t>
  </si>
  <si>
    <t>DA206</t>
  </si>
  <si>
    <t>고등 한국사 7일 끝 중간고사 기말고사</t>
  </si>
  <si>
    <t>DA207</t>
  </si>
  <si>
    <t>EBS 수능특강 사용설명서 고등 한국사영역 한국사</t>
  </si>
  <si>
    <t>DA208</t>
  </si>
  <si>
    <t>우공비Q 등급업N제 고등 학국사 483제</t>
  </si>
  <si>
    <t>DA301</t>
  </si>
  <si>
    <t>씨뮬 9TH 수능기출 전국연합 3년간 모의고사 한국사 고3 (2021)</t>
  </si>
  <si>
    <t>씨뮬 10th 수능기출 전국연합학력평가 3년간 모의고사 한국사 고3(2022)(2023수능대비)</t>
  </si>
  <si>
    <t>DA303</t>
  </si>
  <si>
    <t>씨뮬 최신 1년간 기출 모의고사-한국사 고3(2016)</t>
  </si>
  <si>
    <t>DA304</t>
  </si>
  <si>
    <t>PASSING 교육청 평가원 수능기출 2개년 모음집 고3 한국사(2015)</t>
  </si>
  <si>
    <t>DA305</t>
  </si>
  <si>
    <t>리얼 오리지널 수능기출 모의고사 3개년-고3 한국사(2020)</t>
  </si>
  <si>
    <t>DA306</t>
  </si>
  <si>
    <t>고등 사탐영역 한국사 기초</t>
  </si>
  <si>
    <t>DA307</t>
  </si>
  <si>
    <t>메가스터디 N제 고등 한국사 400제</t>
  </si>
  <si>
    <t>DA308</t>
  </si>
  <si>
    <t>메가스터디 고등 한국사 910제</t>
  </si>
  <si>
    <t>DB101</t>
  </si>
  <si>
    <t>옷장 속의 세계사(창비청소년문고 10)</t>
  </si>
  <si>
    <t>DB102</t>
  </si>
  <si>
    <t>역사 속의 세계사1</t>
  </si>
  <si>
    <t>DB103</t>
  </si>
  <si>
    <t>백건아 Signal 기출문제집-세계사(2023 대비)</t>
  </si>
  <si>
    <t>DB104</t>
  </si>
  <si>
    <t>슬기로운 세계사 1-사료분석(2023 대비)</t>
  </si>
  <si>
    <t>DB105</t>
  </si>
  <si>
    <t>백건아 Final 모의고사-세계사(2022)</t>
  </si>
  <si>
    <t>EBS 수능완성 사회탐구영역 세계사</t>
  </si>
  <si>
    <t>DB107</t>
  </si>
  <si>
    <t>EBS 수능특강 사회탐구영역 세계사</t>
  </si>
  <si>
    <t>DB108</t>
  </si>
  <si>
    <t>EBS N제 사회탐구영역 세계사 300제</t>
  </si>
  <si>
    <t>DB201</t>
  </si>
  <si>
    <t>리얼리티 전국연합 5개년 모의고사 고2 세계사(2020)</t>
  </si>
  <si>
    <t>DB202</t>
  </si>
  <si>
    <t>리얼리티 전국연합 4개년 모의고사 고2 세계사(2019)</t>
  </si>
  <si>
    <t>DB203</t>
  </si>
  <si>
    <t>세계사 사건 파일 2 - 인쇄술의 혁명부터 9.11테러까지(돌콩 사회똑똑)</t>
  </si>
  <si>
    <t>백건아 Junior N제-세계사(2022)</t>
  </si>
  <si>
    <t>드림하이 모의고사 세계사영역 4회(2020)</t>
  </si>
  <si>
    <t>세계사를 보다3</t>
  </si>
  <si>
    <t>세계사를 보다1</t>
  </si>
  <si>
    <t>DB208</t>
  </si>
  <si>
    <t>세계사를 보다2</t>
  </si>
  <si>
    <t>삼육구십 모의고사기출문제집 고3 세계사(2012)</t>
  </si>
  <si>
    <t>DB302</t>
  </si>
  <si>
    <t>지피지기 백전백승 모의고사 기출모음집 고3 세계사(2013 수능대비 최신판)</t>
  </si>
  <si>
    <t>리얼리티 전국연합 4개년 모의고사 고3 세계사(2019)</t>
  </si>
  <si>
    <t>DB304</t>
  </si>
  <si>
    <t>PASSING 교육청 평가원 수능기출 2개년 모음집 고3 세계사(2015)</t>
  </si>
  <si>
    <t>DB305</t>
  </si>
  <si>
    <t>5개년 모의고사 모음집-고3 사회탐구(세계사)(2012 수능대비)(이런 문제 꼭 나온다)</t>
  </si>
  <si>
    <t>DB306</t>
  </si>
  <si>
    <t>EBS 수능특강 고등 사회탐구영역 세계사</t>
  </si>
  <si>
    <t>DB307</t>
  </si>
  <si>
    <t>EBS 수능완성 고등 사회탐구영역 세계사</t>
  </si>
  <si>
    <t>EBS 수능특강 고등 사탐 세계사</t>
  </si>
  <si>
    <t>EA101</t>
  </si>
  <si>
    <t>EBS 개념완성 사회탐구영역 생활과 윤리(2018 고1적용)</t>
  </si>
  <si>
    <t>EA102</t>
  </si>
  <si>
    <t>생활과 윤리-하룻밤에 끝내는 완벽한 수능</t>
  </si>
  <si>
    <t>현자의 돌 생활과 윤리 모의고사 시즌1(2021수능대비)</t>
  </si>
  <si>
    <t>EA104</t>
  </si>
  <si>
    <t>우공비Q 등급업N제 생활과 윤리(2021)</t>
  </si>
  <si>
    <t>EA105</t>
  </si>
  <si>
    <t>현자의 돌 생활과 윤리 킬러 쿼터 모의고사(2021 수능대비)</t>
  </si>
  <si>
    <t>EA106</t>
  </si>
  <si>
    <t>현자의 돌 6.9평 통합 분석서 고등 생활과 윤리</t>
  </si>
  <si>
    <t>EA107</t>
  </si>
  <si>
    <t>고등 생활과 윤리 7일 끝 중간고사 기말고사</t>
  </si>
  <si>
    <t>고등 사탐영역 생활과 윤리 기초</t>
  </si>
  <si>
    <t>메가스터디 N제-고2 사회탐구영역 생활과 윤리 600제(2018)</t>
  </si>
  <si>
    <t>EA202</t>
  </si>
  <si>
    <t>메가스터디 N제-고2 사회탐구영역 생활과 윤리 600제(2017)</t>
  </si>
  <si>
    <t>EA203</t>
  </si>
  <si>
    <t>현자의 돌 생활과 윤리 수능 실전 개념 완성(2021)(2022 수능대비)</t>
  </si>
  <si>
    <t>현자의 돌 생활과 윤리 주제별 기출문제집(2022)(2023 수능대비)</t>
  </si>
  <si>
    <t>EA205</t>
  </si>
  <si>
    <t>수능전략 사회탐구영역 생활과 윤리(2022)</t>
  </si>
  <si>
    <t>고등 생활과 윤리 파이널 실전적중 모의고사</t>
  </si>
  <si>
    <t>EA207</t>
  </si>
  <si>
    <t>현자의 돌 고등 생활과 윤리 환경윤리 이론 총정리</t>
  </si>
  <si>
    <t>EA208</t>
  </si>
  <si>
    <t>몽몽 모의평가 생활과 윤리</t>
  </si>
  <si>
    <t>리얼리티 전국연합 4개년 모의고사 고3 생활과 윤리(2019)</t>
  </si>
  <si>
    <t>EA302</t>
  </si>
  <si>
    <t>탑 시크리트 최종모의고사-고3 생활과 윤리(봉투)(2016 수능대비)</t>
  </si>
  <si>
    <t>EA303</t>
  </si>
  <si>
    <t>씨뮬 9TH 수능기출 전국연합 3년간 모의고사 생활과 윤리 고3 (2021)</t>
  </si>
  <si>
    <t>EA304</t>
  </si>
  <si>
    <t>리얼 오리지널 수능기출 5개년 35회 모의고사-고3 생활과 윤리(2021)</t>
  </si>
  <si>
    <t>리얼 오리지널 수능기출 50회 모의고사-고3 생활과 윤리(2018수능시험대비)</t>
  </si>
  <si>
    <t>EBS 수능특강 Q 미니모의고사 고등 사회탐구영역 생활과 윤리</t>
  </si>
  <si>
    <t>EA307</t>
  </si>
  <si>
    <t>EBS 수능특강 고등 사회탐구여역 생활과 윤리</t>
  </si>
  <si>
    <t>EA308</t>
  </si>
  <si>
    <t>현자의 돌 고등 생활과 윤리 기출문제집</t>
  </si>
  <si>
    <t>EB101</t>
  </si>
  <si>
    <t>EBS 개념완성 사회탐구영역 사회문화(2018 고1적용)</t>
  </si>
  <si>
    <t>EB102</t>
  </si>
  <si>
    <t>개념풀 사회.문화(2019)</t>
  </si>
  <si>
    <t>EB103</t>
  </si>
  <si>
    <t>핵심큐 사회 문화(2019)</t>
  </si>
  <si>
    <t>EB104</t>
  </si>
  <si>
    <t>우공비Q 등급업N제 사회문화(2021)</t>
  </si>
  <si>
    <t>EB105</t>
  </si>
  <si>
    <t>1등급 만들기-사회.문화 690제(2019)</t>
  </si>
  <si>
    <t>EB106</t>
  </si>
  <si>
    <t>EBS 수능특강 고등 사회탐구영역 사회문화</t>
  </si>
  <si>
    <t>EB107</t>
  </si>
  <si>
    <t>EBS 수능완성 고등 사회 문화</t>
  </si>
  <si>
    <t>EBS 수능완성 고등 사회탐구영역 사회 문화</t>
  </si>
  <si>
    <t>EB201</t>
  </si>
  <si>
    <t>연도별 7개년 수능모의고사-고2 사회문화(2012대비)</t>
  </si>
  <si>
    <t>EB202</t>
  </si>
  <si>
    <t>리얼리티 전국연합 5개년 모의고사 고2 사회문화(2020)</t>
  </si>
  <si>
    <t>EB203</t>
  </si>
  <si>
    <t>리얼리티 전국연합 4개년 모의고사 고2 사회문화(2019)</t>
  </si>
  <si>
    <t>EB204</t>
  </si>
  <si>
    <t>기출비 수능 모의평가(학력진단)사회문화 고2(2013수능대비)</t>
  </si>
  <si>
    <t>EB205</t>
  </si>
  <si>
    <t>노스트라다무스 수능기출 플러스 사회문화 고2용(2016)</t>
  </si>
  <si>
    <t>EB206</t>
  </si>
  <si>
    <t>30일컷 사탐기출 고등 사회문화</t>
  </si>
  <si>
    <t>EB207</t>
  </si>
  <si>
    <t>고등 사회. 문화 7일 끝 중간고사 기말고사</t>
  </si>
  <si>
    <t>EB208</t>
  </si>
  <si>
    <t>올쏘 내신강자 고등 사회 문화</t>
  </si>
  <si>
    <t>EB301</t>
  </si>
  <si>
    <t>올필 3개년 모의고사 사회문화-고3 사회문화(2012 수능 대비 최신 개정판)</t>
  </si>
  <si>
    <t>EB302</t>
  </si>
  <si>
    <t>씨뮬 9TH 수능기출 전국연합 3년간 모의고사 사회문화 고3 (2021)</t>
  </si>
  <si>
    <t>씨뮬 10th 수능기출 전국연합학력평가 3년간 모의고사 사회문화 고3(2022)(2023수능대비)</t>
  </si>
  <si>
    <t>EB304</t>
  </si>
  <si>
    <t>앤디션 모의고사 기출문제집-고3 사회문화(2016 대비)</t>
  </si>
  <si>
    <t>EB305</t>
  </si>
  <si>
    <t>리얼 오리지널 수능기출 전국연합 학력평가 모의고사-고3 사회문화(2022)(2023 대비)</t>
  </si>
  <si>
    <t>EB306</t>
  </si>
  <si>
    <t>EBS 수능특강 사용설명서 고등 사회탐구영역 사회.문화</t>
  </si>
  <si>
    <t>EB307</t>
  </si>
  <si>
    <t>단권화 사회탐구영역 사회문화 단권화</t>
  </si>
  <si>
    <t>EB308</t>
  </si>
  <si>
    <t>종로 인터넷 강의 교재 사회 탐구 영역 사회문화</t>
  </si>
  <si>
    <t>EC101</t>
  </si>
  <si>
    <t>누드교과서-윤리와 사상(2014년 고1용)</t>
  </si>
  <si>
    <t>EC102</t>
  </si>
  <si>
    <t>EC105</t>
  </si>
  <si>
    <t>미네르바 N제-윤리와 사상(2021)</t>
  </si>
  <si>
    <t>EC106</t>
  </si>
  <si>
    <t>EBS 수능특강 고등 사회탐구영역 윤리와 사상</t>
  </si>
  <si>
    <t>EC107</t>
  </si>
  <si>
    <t>EBS 수능 고등 사회탐구 윤리와 사상</t>
  </si>
  <si>
    <t>EC108</t>
  </si>
  <si>
    <t>고등 셀파 윤리와 사상</t>
  </si>
  <si>
    <t>EC201</t>
  </si>
  <si>
    <t>리얼리티 전국연합 4개년 모의고사 고2 윤리와 사상(2019)</t>
  </si>
  <si>
    <t>EC202</t>
  </si>
  <si>
    <t>리얼리티 전국연합 5개년 모의고사 고2 윤리와 사상(2020)</t>
  </si>
  <si>
    <t>EC203</t>
  </si>
  <si>
    <t>LUKAS모의고사고시즌(2)-윤리와사상</t>
  </si>
  <si>
    <t>EC204</t>
  </si>
  <si>
    <t>한국인을 위한 윤리와 논리</t>
  </si>
  <si>
    <t>EC205</t>
  </si>
  <si>
    <t>윤리학</t>
  </si>
  <si>
    <t>EBS 수능완성 사회탐구영역 윤리와 사상</t>
  </si>
  <si>
    <t>EBS N제 사회탐구영역 윤리와 사상 300제</t>
  </si>
  <si>
    <t>EC208</t>
  </si>
  <si>
    <t>EBS 수능기출플러스 사회탐구영역 윤리와 사상</t>
  </si>
  <si>
    <t>EC301</t>
  </si>
  <si>
    <t>씨뮬 9TH 수능기출 전국연합 3년간 모의고사 윤리와 사상 고3 (2021)</t>
  </si>
  <si>
    <t>EC302</t>
  </si>
  <si>
    <t>지피지기 백전백승 모의고사기출모음집 고3 생활과 윤리, 윤리와 사상(2014 수능대비최신판)</t>
  </si>
  <si>
    <t>EC303</t>
  </si>
  <si>
    <t>PASSING 교육청 평가원 수능기출 2개년 모음집 고3 윤리와 사상(2015)</t>
  </si>
  <si>
    <t>EC304</t>
  </si>
  <si>
    <t>애드미티 평가원.수능기출 240제-고3 윤리와 사상(2016 수능시험 완벽대비)</t>
  </si>
  <si>
    <t>EC305</t>
  </si>
  <si>
    <t>D-100 신수능기출 100% 수록-고3 윤리와 사상(완전학습 신수능 기출문제집 시리즈 108)</t>
  </si>
  <si>
    <t>EC306</t>
  </si>
  <si>
    <t>하이라이트 핵심 윤리와 사상</t>
  </si>
  <si>
    <t>EC307</t>
  </si>
  <si>
    <t>고등 윤리와 모든 것</t>
  </si>
  <si>
    <t>EC308</t>
  </si>
  <si>
    <t>윤리</t>
  </si>
  <si>
    <t>FA101</t>
  </si>
  <si>
    <t>EBS 개념완성 과학탐구영역 지구과학 1(2018 고1적용)</t>
  </si>
  <si>
    <t>FA102</t>
  </si>
  <si>
    <t>내신끝고1과학-지구과학(2010)</t>
  </si>
  <si>
    <t>FA103</t>
  </si>
  <si>
    <t>2012 지구 차원 대전환과 천상의 메시지들</t>
  </si>
  <si>
    <t>FA104</t>
  </si>
  <si>
    <t>과학자처럼 사고하기</t>
  </si>
  <si>
    <t>EBS 내신6감 고1 지구과학(2010년)</t>
  </si>
  <si>
    <t>FA106</t>
  </si>
  <si>
    <t>EBS 수능특강 고등 과학탐구영역 지구과학1</t>
  </si>
  <si>
    <t>FA107</t>
  </si>
  <si>
    <t>EBS 수능특강 Q 미니모의고사 고등 과학탐구영역 지구과학1</t>
  </si>
  <si>
    <t>EBS 수능완성 고등 과학탐구영역 지구과학1</t>
  </si>
  <si>
    <t>FA201</t>
  </si>
  <si>
    <t>연도별 7개년 수능모의고사-고2 지구과학 I(2012대비)</t>
  </si>
  <si>
    <t>FA202</t>
  </si>
  <si>
    <t>리얼리티 전국연합 4개년 모의고사 고2 지구과학 1(2019)</t>
  </si>
  <si>
    <t>FA203</t>
  </si>
  <si>
    <t>연도별 최신기출 7개년 모의고사-고2 지구과학 I(2011)</t>
  </si>
  <si>
    <t>FA204</t>
  </si>
  <si>
    <t>리얼리티 전국연합 5개년 모의고사 고2 지구과학 1(2020)</t>
  </si>
  <si>
    <t>FA205</t>
  </si>
  <si>
    <t>EBSi 강의노트 기본개념 고1,2를 위한 박남정의 친절한 지구과학 1</t>
  </si>
  <si>
    <t>FA206</t>
  </si>
  <si>
    <t>하이탑 고등학교 지구과학2</t>
  </si>
  <si>
    <t>FA207</t>
  </si>
  <si>
    <t>한 번만 읽으면 확 잡히는 고등 지구과학</t>
  </si>
  <si>
    <t>FA208</t>
  </si>
  <si>
    <t>고등 과학탐구영역 지구과학1 시즌</t>
  </si>
  <si>
    <t>씨뮬 수능기출 전국연합 3년간 모의고사-고3 지구과학 1(8TH)(2021수능대비)</t>
  </si>
  <si>
    <t>FA302</t>
  </si>
  <si>
    <t>입시플라이 수능기출 모의고사 3개년 문제집-고3 과학탐구영역 지구과학 I(2014 대비)</t>
  </si>
  <si>
    <t>FA303</t>
  </si>
  <si>
    <t>씨뮬 9TH 수능기출 전국연합 3년간 모의고사 지구과학1 고3(2021)</t>
  </si>
  <si>
    <t>FA304</t>
  </si>
  <si>
    <t>골드 스터디 월별모의고사족보-고3 지구과학 I(2014 대비)</t>
  </si>
  <si>
    <t>리얼리티 전국연합 4개년 모의고사 고3 지구과학 2(2019)</t>
  </si>
  <si>
    <t>FA306</t>
  </si>
  <si>
    <t>고등 지구과학1</t>
  </si>
  <si>
    <t>FA307</t>
  </si>
  <si>
    <t>고등 지구과학1 N제</t>
  </si>
  <si>
    <t>FA308</t>
  </si>
  <si>
    <t>단권화 고등 과학탐구영역 지구과학1</t>
  </si>
  <si>
    <t>FB101</t>
  </si>
  <si>
    <t>EBSi 강의노트 기본개념 고1,2를 위한 여한종의 두드림 생명과학 1</t>
  </si>
  <si>
    <t>FB102</t>
  </si>
  <si>
    <t>EBS 강의노트 기본개념 과탐 - 박소현의 고1,2를 위한 개념의 정석 생명과학1 (2016)</t>
  </si>
  <si>
    <t>FB103</t>
  </si>
  <si>
    <t>유인원과 유전체 정보</t>
  </si>
  <si>
    <t>FB104</t>
  </si>
  <si>
    <t>21세기생명과학</t>
  </si>
  <si>
    <t>예제로 배우는 생명과학</t>
  </si>
  <si>
    <t>FB106</t>
  </si>
  <si>
    <t>EBS 수능특강 고등 과학탐구영역 생명과학2</t>
  </si>
  <si>
    <t>FB107</t>
  </si>
  <si>
    <t>EBS 수능특강 고등 과학탐구영역 생명과학1</t>
  </si>
  <si>
    <t>하이탐 고등학교 생명과학2</t>
  </si>
  <si>
    <t>리얼리티 전국연합 4개년 모의고사 고2 생명과학 1(2019)</t>
  </si>
  <si>
    <t>메가스터디 고2 생명과학1 600제(2016)</t>
  </si>
  <si>
    <t>FB203</t>
  </si>
  <si>
    <t>리얼리티 전국연합 5개년 모의고사 고2 생명과학 1(2020)</t>
  </si>
  <si>
    <t>FB204</t>
  </si>
  <si>
    <t>노스트라다무스 수능기출 플러스 생명과학1 고2용(2016)</t>
  </si>
  <si>
    <t>FB205</t>
  </si>
  <si>
    <t>수능해커과학-생명과학1 고2용(2016기출모의고사 모음집)</t>
  </si>
  <si>
    <t>FB206</t>
  </si>
  <si>
    <t>EBS 수능완성 과학탐구영역 생명과학 1</t>
  </si>
  <si>
    <t>FB207</t>
  </si>
  <si>
    <t>EBS 3주특강 고등 과학탐구영역  생명 과학1</t>
  </si>
  <si>
    <t>FB208</t>
  </si>
  <si>
    <t>고등 과학탐구영역 생명과학1</t>
  </si>
  <si>
    <t>FB301</t>
  </si>
  <si>
    <t>씨뮬 수능기출 전국연합 3년간 모의고사-고3 생명과학 1(8TH)(2021수능대비)</t>
  </si>
  <si>
    <t>FB302</t>
  </si>
  <si>
    <t>씨뮬 9th 수능기출 전국연합 3년간 모의고사 생명과학 1 고3(2021)</t>
  </si>
  <si>
    <t>FB303</t>
  </si>
  <si>
    <t>입시플라이 수능기출 모의고사 3개년 문제집-고3 과학탐구영역 생명과학 I(2014 대비)</t>
  </si>
  <si>
    <t>리얼 오리지널 수능기출 50회 모의고사-고3 생명과학 1(2018수능시험대비)</t>
  </si>
  <si>
    <t>FB305</t>
  </si>
  <si>
    <t>리얼 오리지널 수능기출 30회 모의고사 5개년-고3 생명과학 1(2020)</t>
  </si>
  <si>
    <t>FB306</t>
  </si>
  <si>
    <t>한 번만 읽으면 확 잡히는 고등 생명과학</t>
  </si>
  <si>
    <t>FB307</t>
  </si>
  <si>
    <t>Present 고등 생명과학 2 3</t>
  </si>
  <si>
    <t>Present 고등 생명과학 2 4</t>
  </si>
  <si>
    <t>EBSi 강의노트 기본개념 고1,2를 위한 양진석의 신의 한 수 화학 1</t>
  </si>
  <si>
    <t>FC102</t>
  </si>
  <si>
    <t>EBS 강의노트 기본개념 과탐 - 이희나의 고1,2를 위한 똑소리 나는 화학1 (2016)</t>
  </si>
  <si>
    <t>FC103</t>
  </si>
  <si>
    <t>EBS 개념완성 과학탐구영역 화학 1(2018 고1적용)</t>
  </si>
  <si>
    <t>FC104</t>
  </si>
  <si>
    <t>학생을 위한 화학과 화학자 이야기(역사로 배우는 기초 화학)</t>
  </si>
  <si>
    <t>FC105</t>
  </si>
  <si>
    <t>화학전공자를 위한 주기율표 이해하기</t>
  </si>
  <si>
    <t>FC106</t>
  </si>
  <si>
    <t>EBS 수능특강 고등 과학탐구영역 화학2</t>
  </si>
  <si>
    <t>FC107</t>
  </si>
  <si>
    <t>OWL N제 PRO 고등 화학1</t>
  </si>
  <si>
    <t>FC108</t>
  </si>
  <si>
    <t>한 번만 읽으면 확 잡해는 고등 화학</t>
  </si>
  <si>
    <t>FC201</t>
  </si>
  <si>
    <t>연도별 7개년 수능모의고사-고2 화학 I(2012대비)</t>
  </si>
  <si>
    <t>FC202</t>
  </si>
  <si>
    <t>리얼리티 전국연합 4개년 모의고사 고2 화학 1(2019)</t>
  </si>
  <si>
    <t>FC203</t>
  </si>
  <si>
    <t>리얼리티 전국연합 5개년 모의고사 고2 화학1(2020)</t>
  </si>
  <si>
    <t>FC204</t>
  </si>
  <si>
    <t>메가스터디 고2 화학1 600제(2016)</t>
  </si>
  <si>
    <t>FC205</t>
  </si>
  <si>
    <t>메가스터디 N제-고2 과학탐구영역 화학1 600제(2017)</t>
  </si>
  <si>
    <t>FC206</t>
  </si>
  <si>
    <t>Chemis tree 고등 화학1 N제</t>
  </si>
  <si>
    <t>고등 과학탐구영역 화학1 시즌.1 모의평가</t>
  </si>
  <si>
    <t>FC208</t>
  </si>
  <si>
    <t>고등 화학2 Frame 기출문제집</t>
  </si>
  <si>
    <t>FC301</t>
  </si>
  <si>
    <t>올필 3개년 모의고사 화학 I-고3 화학 I(2012 수능 대비 최신 개정판)</t>
  </si>
  <si>
    <t>FC302</t>
  </si>
  <si>
    <t>리얼리티 전국연합 5개년 모의고사 고3 화학 1(2020)</t>
  </si>
  <si>
    <t>FC303</t>
  </si>
  <si>
    <t>지피지기 백전백승 모의고사기출모음집 고3 화학 2(2014 수능대비최신판)</t>
  </si>
  <si>
    <t>FC304</t>
  </si>
  <si>
    <t>리얼리티 전국연합 4개년 모의고사 고3 화학 1(2019)</t>
  </si>
  <si>
    <t>FC305</t>
  </si>
  <si>
    <t>골드 스터디 월별모의고사족보-고3 화학 I(2014 대비)</t>
  </si>
  <si>
    <t>FC306</t>
  </si>
  <si>
    <t>Clab 모의평가 DUO 2회분 고등 과학탐구영역 화학1</t>
  </si>
  <si>
    <t>적중선택 최종점검 Final 봉투모의고사 고등 화학1</t>
  </si>
  <si>
    <t>EBS 수능완성 과학탐구영역 화학1</t>
  </si>
  <si>
    <t>GA101</t>
  </si>
  <si>
    <t>대입직업탐구공업입문</t>
  </si>
  <si>
    <t>GA102</t>
  </si>
  <si>
    <t>대입직업탐구정보기술기초</t>
  </si>
  <si>
    <t>GA103</t>
  </si>
  <si>
    <t>8051마스터</t>
  </si>
  <si>
    <t>AVR ATmega128 마스터</t>
  </si>
  <si>
    <t>GA105</t>
  </si>
  <si>
    <t>컴퓨터그래픽스운용기능사필기</t>
  </si>
  <si>
    <t>GA106</t>
  </si>
  <si>
    <t>EBS 수능완성 고등 직업탐구영역 공업 일반</t>
  </si>
  <si>
    <t>GA107</t>
  </si>
  <si>
    <t>EBSi 강의교재 수능완성 기초제도 공업 2</t>
  </si>
  <si>
    <t>GA108</t>
  </si>
  <si>
    <t>EBSi 강의교재 수능완성 기초제도 공업 1</t>
  </si>
  <si>
    <t>GA201</t>
  </si>
  <si>
    <t>C언어 Game 프로그래밍</t>
  </si>
  <si>
    <t>GA202</t>
  </si>
  <si>
    <t>C프로그래밍 오답노트-애프터스킬</t>
  </si>
  <si>
    <t>GA203</t>
  </si>
  <si>
    <t>EBS 2018학년도 수능특강 공업일반</t>
  </si>
  <si>
    <t>GA204</t>
  </si>
  <si>
    <t>EBS 2019학년도 수능특강 공업일반</t>
  </si>
  <si>
    <t>EBS 2021학년도 수능특강 직업탐구영역 공업 일반</t>
  </si>
  <si>
    <t>GA206</t>
  </si>
  <si>
    <t>EBSi 강의노트 수능완성 직업탐구영역 공업 일반</t>
  </si>
  <si>
    <t>GA207</t>
  </si>
  <si>
    <t>EBSi 강의교재 수능특강 직업탐구영역 공업입문</t>
  </si>
  <si>
    <t>EBSi 강의교재 수능특강 직업탐구영역 공업 입문 공업1</t>
  </si>
  <si>
    <t>EBS 2023학년도 수능특강 직업탐구영역 공업 일반</t>
  </si>
  <si>
    <t>GA302</t>
  </si>
  <si>
    <t>리얼리티 전국연합 4개년 모의고사 고3 공업일반(2019)</t>
  </si>
  <si>
    <t>GA303</t>
  </si>
  <si>
    <t>리얼리티 전국연합 5개년 모의고사 고3 공업일반(2020)</t>
  </si>
  <si>
    <t>GA304</t>
  </si>
  <si>
    <t>기초완성 공업수학</t>
  </si>
  <si>
    <t>GA305</t>
  </si>
  <si>
    <t>일반기계 공학-기계자동차계열 공무원 및 국가기술자격 대비(제3판)</t>
  </si>
  <si>
    <t>EBSi 강의교재 수능완성 직업탐구 공업입문 강의노트</t>
  </si>
  <si>
    <t>GA307</t>
  </si>
  <si>
    <t>직탐 공업입문</t>
  </si>
  <si>
    <t>GA308</t>
  </si>
  <si>
    <t>직탐 공업입문서</t>
  </si>
  <si>
    <t>GB101</t>
  </si>
  <si>
    <t>객관식 상업등기법 및 비송사건절차법(2022)</t>
  </si>
  <si>
    <t>GB102</t>
  </si>
  <si>
    <t>상업등기법 및 비송사건절차법-법무사시험 대비.실무참고자료(2021)</t>
  </si>
  <si>
    <t>GB103</t>
  </si>
  <si>
    <t>상업등기법및비송사건절차법-조문.예규.선례정리(2022)</t>
  </si>
  <si>
    <t>GB104</t>
  </si>
  <si>
    <t>고등학교 상업경제 교과서 (천재교과서-서동관)</t>
  </si>
  <si>
    <t>GB105</t>
  </si>
  <si>
    <t>상업정보교과교재 및 연구법</t>
  </si>
  <si>
    <t>GB106</t>
  </si>
  <si>
    <t>EBSi 강의교재 수능완성 상업 경제 상업정보1</t>
  </si>
  <si>
    <t>GB107</t>
  </si>
  <si>
    <t>EBS 수능특강 직업탐구영역 상업경제 상업정보1</t>
  </si>
  <si>
    <t>GB108</t>
  </si>
  <si>
    <t>EBS 수능특강 직업탐구영역 상업경제 상업정보2</t>
  </si>
  <si>
    <t>GB201</t>
  </si>
  <si>
    <t>고등학교 상업경제 교과서 (씨마스-조경희)</t>
  </si>
  <si>
    <t>GB202</t>
  </si>
  <si>
    <t>상업정보교과교육론</t>
  </si>
  <si>
    <t>상업경제(고등학교 교과서대용)(2016)</t>
  </si>
  <si>
    <t>고등학교 상업경제 교과서 천재(2013)</t>
  </si>
  <si>
    <t>GB205</t>
  </si>
  <si>
    <t>세무일반(2015)</t>
  </si>
  <si>
    <t>GB206</t>
  </si>
  <si>
    <t>EBSi 수능특강 직업탐구영역 상업경제</t>
  </si>
  <si>
    <t>GB207</t>
  </si>
  <si>
    <t>직탐 상업경제</t>
  </si>
  <si>
    <t>EBSi 강의교재 수능특강 직업탐구영역 상업경제</t>
  </si>
  <si>
    <t>EBS 2021학년도 수능특강 직업탐구영역 상업 경제</t>
  </si>
  <si>
    <t>GB302</t>
  </si>
  <si>
    <t>EBS 2023학년도 수능특강 직업탐구영역 상업 경제</t>
  </si>
  <si>
    <t>GB303</t>
  </si>
  <si>
    <t>기업자원통합관리(2015 개정)</t>
  </si>
  <si>
    <t>GB304</t>
  </si>
  <si>
    <t>금융일반(2015 개정)</t>
  </si>
  <si>
    <t>GB305</t>
  </si>
  <si>
    <t>상업경제(2015 개정)</t>
  </si>
  <si>
    <t>GB306</t>
  </si>
  <si>
    <t>상업경제</t>
  </si>
  <si>
    <t>GB307</t>
  </si>
  <si>
    <t>EBS 수능 CHOICEE 상업경제</t>
  </si>
  <si>
    <t>GB308</t>
  </si>
  <si>
    <t>EBSi 강의노트 수능완성 직업탐구영역 상업경제</t>
  </si>
  <si>
    <t>GC101</t>
  </si>
  <si>
    <t>유기농업(2015개정 교육과정)_재인정</t>
  </si>
  <si>
    <t>GC102</t>
  </si>
  <si>
    <t>농촌과 농지개발</t>
  </si>
  <si>
    <t>GC103</t>
  </si>
  <si>
    <t>고등학교 농업 토목 기술1</t>
  </si>
  <si>
    <t>고등학교 농업 토목 기술2</t>
  </si>
  <si>
    <t>GC105</t>
  </si>
  <si>
    <t>고등학교 농업기초기술 교과서 성림</t>
  </si>
  <si>
    <t>GC106</t>
  </si>
  <si>
    <t>과원 토양관리(농업기술길잡이)</t>
  </si>
  <si>
    <t>낙농(농업기술길잡이)</t>
  </si>
  <si>
    <t>유기농업기능사 실기 필답형</t>
  </si>
  <si>
    <t>GC201</t>
  </si>
  <si>
    <t>고등학교 농업 정보 관리</t>
  </si>
  <si>
    <t>GC202</t>
  </si>
  <si>
    <t>고등학교 농업 생명 과학</t>
  </si>
  <si>
    <t>GC203</t>
  </si>
  <si>
    <t>고등학교 농업 이해</t>
  </si>
  <si>
    <t>GC204</t>
  </si>
  <si>
    <t>고등학교 농업 토목 제도 설계</t>
  </si>
  <si>
    <t>GC205</t>
  </si>
  <si>
    <t>고등학교 농업 CEO 창업 실무 이론+실습 시제품 개발</t>
  </si>
  <si>
    <t>GC206</t>
  </si>
  <si>
    <t>유기농업기능사 실기 작업형</t>
  </si>
  <si>
    <t>GC207</t>
  </si>
  <si>
    <t>유기농업 실무</t>
  </si>
  <si>
    <t>GC208</t>
  </si>
  <si>
    <t>리얼리티 농업 기초 기술 모의고사</t>
  </si>
  <si>
    <t>GC301</t>
  </si>
  <si>
    <t>EBS 2020학년도 수능특강 농업이해</t>
  </si>
  <si>
    <t>GC302</t>
  </si>
  <si>
    <t>EBS 2020학년도 수능완성 농업 이해</t>
  </si>
  <si>
    <t>GC303</t>
  </si>
  <si>
    <t>EBS 2021학년도 수능특강 직업탐구영역 농업이해</t>
  </si>
  <si>
    <t>GC304</t>
  </si>
  <si>
    <t>EBS 2023학년도 수능특강 직업탐구영역 농업 기초 기술</t>
  </si>
  <si>
    <t>GC305</t>
  </si>
  <si>
    <t>EBS 수능특강 고등 직업탐구영역 농업 기초 기술(2021)(2022 수능대비)</t>
  </si>
  <si>
    <t>GC306</t>
  </si>
  <si>
    <t>농업기술길잡이 고추</t>
  </si>
  <si>
    <t>GC307</t>
  </si>
  <si>
    <t>배(농업기술길잡이)</t>
  </si>
  <si>
    <t>GC308</t>
  </si>
  <si>
    <t>고품질 수박(농업기술길잡이)</t>
  </si>
  <si>
    <t>HA101</t>
  </si>
  <si>
    <t>고등학교 중국어 1 교과서 (정진출판사-이종민)</t>
  </si>
  <si>
    <t>HA102</t>
  </si>
  <si>
    <t>고등학교 중국어 1 시사중국</t>
  </si>
  <si>
    <t>HA103</t>
  </si>
  <si>
    <t>고등학교 중국어 1 교과서 (넥서스-김명화)</t>
  </si>
  <si>
    <t>HA104</t>
  </si>
  <si>
    <t>고등학교 중국어 1 교과서 (동양북스-박용호)</t>
  </si>
  <si>
    <t>HA105</t>
  </si>
  <si>
    <t>고등학교 중국어 1 교과서 (미래엔-최병권)</t>
  </si>
  <si>
    <t>고등 중국어 1 자습서</t>
  </si>
  <si>
    <t>HA107</t>
  </si>
  <si>
    <t>고등학교 중국어1 자습서</t>
  </si>
  <si>
    <t>HA108</t>
  </si>
  <si>
    <t>HSK 중국어 단어</t>
  </si>
  <si>
    <t>HA201</t>
  </si>
  <si>
    <t>고등학교 중국어 2 교과서 (천재교과서-신승희)</t>
  </si>
  <si>
    <t>HA202</t>
  </si>
  <si>
    <t>고등학교 중국어 2 시사중국</t>
  </si>
  <si>
    <t>HA203</t>
  </si>
  <si>
    <t>고등학교 중국어 2 교과서 (정진출판사-이종민)</t>
  </si>
  <si>
    <t>HA204</t>
  </si>
  <si>
    <t>고등학교 중국어 2 교과서 (김성철 다락원)</t>
  </si>
  <si>
    <t>HA205</t>
  </si>
  <si>
    <t>고등학교 중국어 2 교과서 (미래엔-최병권)</t>
  </si>
  <si>
    <t>탄탄한 중국어 3</t>
  </si>
  <si>
    <t>HA207</t>
  </si>
  <si>
    <t>Happy Chinese 중국어 교실2</t>
  </si>
  <si>
    <t>고등 중국어1</t>
  </si>
  <si>
    <t>HA301</t>
  </si>
  <si>
    <t>EBS 수능특강 고등 제2외국어&amp;한문영역 중국어1(2021)(2022 수능대비)</t>
  </si>
  <si>
    <t>HA302</t>
  </si>
  <si>
    <t>EBS 수능특강 중국어1: 제2외국어한문영역(2022)(2023 수능 대비)</t>
  </si>
  <si>
    <t>EBSi 강의교재 수능완성 제2외국어&amp;한문영역 중국어 1 (2020년)</t>
  </si>
  <si>
    <t>HA304</t>
  </si>
  <si>
    <t>EBSi 강의교재 수능완성 제2외국어&amp;한문영역 중국어 I (2021년)</t>
  </si>
  <si>
    <t>HA305</t>
  </si>
  <si>
    <t>EBS 수능특강 강의노트 제2외국어&amp;한문영역 중국어 1 (2020년)</t>
  </si>
  <si>
    <t>HA306</t>
  </si>
  <si>
    <t>EBS 수능특강 고등 제2외국어 중국어1</t>
  </si>
  <si>
    <t>생활중국어회화</t>
  </si>
  <si>
    <t>HA308</t>
  </si>
  <si>
    <t>고등학교 중국어1</t>
  </si>
  <si>
    <t>고등학교 일본어 1 교과서 (다락원-윤강구)</t>
  </si>
  <si>
    <t>HB102</t>
  </si>
  <si>
    <t>고등학교 일본어 1 자습서 (2022년용)</t>
  </si>
  <si>
    <t>2021년형 고등학교 일본어 1 교과서 (미래엔 오현정)</t>
  </si>
  <si>
    <t>HB104</t>
  </si>
  <si>
    <t>고등학교 일본어 1 교과서 (에듀서울-안병곤)</t>
  </si>
  <si>
    <t>HB105</t>
  </si>
  <si>
    <t>고등학교 일본어 1 교과서 (천재교과서-배홍철)</t>
  </si>
  <si>
    <t>HB106</t>
  </si>
  <si>
    <t>알짜배기 일본어 쓰기박사</t>
  </si>
  <si>
    <t>HB107</t>
  </si>
  <si>
    <t>기본 일본어 교육사전</t>
  </si>
  <si>
    <t>HB108</t>
  </si>
  <si>
    <t>키라키라 일본어 STEP 3</t>
  </si>
  <si>
    <t>HB201</t>
  </si>
  <si>
    <t>고등학교 일본어 2 교과서 (미래엔-오현정)</t>
  </si>
  <si>
    <t>고등학교 일본어 2 시사일본</t>
  </si>
  <si>
    <t>HB203</t>
  </si>
  <si>
    <t>고등학교 일본어 2 교과서 (천재교과서-배홍철)</t>
  </si>
  <si>
    <t>HB204</t>
  </si>
  <si>
    <t>고등학교 교과서 일본어회화2 </t>
  </si>
  <si>
    <t>HB205</t>
  </si>
  <si>
    <t>고등학교 일본어 2 교과서 다락원</t>
  </si>
  <si>
    <t>HB206</t>
  </si>
  <si>
    <t>EBS FM Radio 중급 일본어 회화</t>
  </si>
  <si>
    <t>일본어작문 플러스</t>
  </si>
  <si>
    <t>HB208</t>
  </si>
  <si>
    <t>신입생을 위한 일본어 문법</t>
  </si>
  <si>
    <t>HB301</t>
  </si>
  <si>
    <t>EBS 수능특강 고등 제2외국어&amp;한문영역 일본어1(2020)</t>
  </si>
  <si>
    <t>HB302</t>
  </si>
  <si>
    <t>EBS 강의교재 수능완성 제2외국어&amp;한문영역 일본어1(2020)</t>
  </si>
  <si>
    <t>HB303</t>
  </si>
  <si>
    <t>EBS 수능특강 고등 제2외국어&amp;한문영역 일본어1(2021)</t>
  </si>
  <si>
    <t>HB304</t>
  </si>
  <si>
    <t>EBS 수능특강 고등 제2외국어&amp;한문영역 일본어1(2022)</t>
  </si>
  <si>
    <t>HB305</t>
  </si>
  <si>
    <t>EBSi 강의교재 수능완성 제2외국어&amp;한문영역 일본어 1(2019)</t>
  </si>
  <si>
    <t>HB306</t>
  </si>
  <si>
    <t>수능 일본어</t>
  </si>
  <si>
    <t>HB307</t>
  </si>
  <si>
    <t>RESTART 일본어 원서읽기</t>
  </si>
  <si>
    <t>HB308</t>
  </si>
  <si>
    <t>EBSi 강의교재 수능완성 일본어1</t>
  </si>
  <si>
    <t>HC101</t>
  </si>
  <si>
    <t>고등학교 교과서 프랑스어회화1</t>
  </si>
  <si>
    <t>HC102</t>
  </si>
  <si>
    <t>고등학교 교과서 프랑스어 1</t>
  </si>
  <si>
    <t>HC103</t>
  </si>
  <si>
    <t>고등학교 교과서 프랑스어2</t>
  </si>
  <si>
    <t>HC104</t>
  </si>
  <si>
    <t>고등학교 프랑스어 독해와 작문1</t>
  </si>
  <si>
    <t>HC105</t>
  </si>
  <si>
    <t>고등학교 교과서 전공기초 프랑스어</t>
  </si>
  <si>
    <t>FLEX UP 프랑스어</t>
  </si>
  <si>
    <t>HC107</t>
  </si>
  <si>
    <t>기초 프랑스어 1</t>
  </si>
  <si>
    <t>내게는 특별한 프랑스어 어휘를 부탁해</t>
  </si>
  <si>
    <t>고등학교 교과서 프랑스어2 (박영사)</t>
  </si>
  <si>
    <t>HC202</t>
  </si>
  <si>
    <t>LE FRANCAIS 2 (고등학교 자습서)</t>
  </si>
  <si>
    <t>HC203</t>
  </si>
  <si>
    <t>왕초보 프랑스어 연습문제집</t>
  </si>
  <si>
    <t>HC204</t>
  </si>
  <si>
    <t>고등학교 교과서 프랑스어회화2</t>
  </si>
  <si>
    <t>ESCARGOT 에스카르고 기초 프랑스어 입문 교재</t>
  </si>
  <si>
    <t>HC206</t>
  </si>
  <si>
    <t>EBSi 강의교재 제2외국어 수능특강 프랑스어</t>
  </si>
  <si>
    <t>HC207</t>
  </si>
  <si>
    <t>주미에르의 10시간 프랑스어 첫걸음</t>
  </si>
  <si>
    <t>HC208</t>
  </si>
  <si>
    <t>버전업 스마트 프랑스어 기초</t>
  </si>
  <si>
    <t>EBS 수능특강 제2외국어한문영역 프랑스어 1 (2021년)</t>
  </si>
  <si>
    <t>HC302</t>
  </si>
  <si>
    <t>EBS 수능특강 제2외국어한문영역 프랑스어 1 (2020년)</t>
  </si>
  <si>
    <t>HC303</t>
  </si>
  <si>
    <t>EBSi 강의교재 수능완성 제2외국어&amp;한문영역 프랑스어 I (2021년)</t>
  </si>
  <si>
    <t>HC304</t>
  </si>
  <si>
    <t>EBSi 강의교재 제2외국어한문영역 프랑스어 1 (2020년)</t>
  </si>
  <si>
    <t>HC305</t>
  </si>
  <si>
    <t>EBS 수능특강 제2외국어한문영역 프랑스어 1 (2022년)</t>
  </si>
  <si>
    <t>HC306</t>
  </si>
  <si>
    <t>EBS 수능완성 고등 제2외국어 프랑스어 1</t>
  </si>
  <si>
    <t>HC307</t>
  </si>
  <si>
    <t>EBSi 강의노트 수능완성 제2외국어 프랑스어 1</t>
  </si>
  <si>
    <t>HC308</t>
  </si>
  <si>
    <t>프랑스어1 자습서</t>
  </si>
  <si>
    <t>분류</t>
    <phoneticPr fontId="1" type="noConversion"/>
  </si>
  <si>
    <t>결제금액</t>
    <phoneticPr fontId="1" type="noConversion"/>
  </si>
  <si>
    <t>강의개수</t>
    <phoneticPr fontId="1" type="noConversion"/>
  </si>
  <si>
    <t>총합계</t>
  </si>
  <si>
    <t>전체</t>
  </si>
  <si>
    <t>전체</t>
    <phoneticPr fontId="1" type="noConversion"/>
  </si>
  <si>
    <t>국어</t>
    <phoneticPr fontId="1" type="noConversion"/>
  </si>
  <si>
    <t>수학</t>
    <phoneticPr fontId="1" type="noConversion"/>
  </si>
  <si>
    <t>영어</t>
    <phoneticPr fontId="1" type="noConversion"/>
  </si>
  <si>
    <t>역사</t>
    <phoneticPr fontId="1" type="noConversion"/>
  </si>
  <si>
    <t>사회</t>
    <phoneticPr fontId="1" type="noConversion"/>
  </si>
  <si>
    <t>과학</t>
    <phoneticPr fontId="1" type="noConversion"/>
  </si>
  <si>
    <t>직업</t>
    <phoneticPr fontId="1" type="noConversion"/>
  </si>
  <si>
    <t>제2외국어</t>
    <phoneticPr fontId="1" type="noConversion"/>
  </si>
  <si>
    <t>문학</t>
    <phoneticPr fontId="1" type="noConversion"/>
  </si>
  <si>
    <t>독서</t>
    <phoneticPr fontId="1" type="noConversion"/>
  </si>
  <si>
    <t>화법과 작문</t>
    <phoneticPr fontId="1" type="noConversion"/>
  </si>
  <si>
    <t>언어와 매체</t>
    <phoneticPr fontId="1" type="noConversion"/>
  </si>
  <si>
    <t>수학 I</t>
    <phoneticPr fontId="1" type="noConversion"/>
  </si>
  <si>
    <t>수학 II</t>
    <phoneticPr fontId="1" type="noConversion"/>
  </si>
  <si>
    <t>미적분</t>
    <phoneticPr fontId="1" type="noConversion"/>
  </si>
  <si>
    <t>영어독해</t>
    <phoneticPr fontId="1" type="noConversion"/>
  </si>
  <si>
    <t>영어문법</t>
    <phoneticPr fontId="1" type="noConversion"/>
  </si>
  <si>
    <t>영어듣기</t>
    <phoneticPr fontId="1" type="noConversion"/>
  </si>
  <si>
    <t>한국사</t>
    <phoneticPr fontId="1" type="noConversion"/>
  </si>
  <si>
    <t>세계사</t>
    <phoneticPr fontId="1" type="noConversion"/>
  </si>
  <si>
    <t>생활과 윤리</t>
    <phoneticPr fontId="1" type="noConversion"/>
  </si>
  <si>
    <t>사회문화</t>
    <phoneticPr fontId="1" type="noConversion"/>
  </si>
  <si>
    <t>윤리와 사상</t>
    <phoneticPr fontId="1" type="noConversion"/>
  </si>
  <si>
    <t>지구과학</t>
    <phoneticPr fontId="1" type="noConversion"/>
  </si>
  <si>
    <t>생명과학</t>
    <phoneticPr fontId="1" type="noConversion"/>
  </si>
  <si>
    <t>화학</t>
    <phoneticPr fontId="1" type="noConversion"/>
  </si>
  <si>
    <t>공업</t>
    <phoneticPr fontId="1" type="noConversion"/>
  </si>
  <si>
    <t>상업정보</t>
    <phoneticPr fontId="1" type="noConversion"/>
  </si>
  <si>
    <t>농업기술</t>
    <phoneticPr fontId="1" type="noConversion"/>
  </si>
  <si>
    <t>중국어</t>
    <phoneticPr fontId="1" type="noConversion"/>
  </si>
  <si>
    <t>일본어</t>
    <phoneticPr fontId="1" type="noConversion"/>
  </si>
  <si>
    <t>프랑스어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</si>
  <si>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</si>
  <si>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</si>
  <si>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</si>
  <si>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</si>
  <si>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</si>
  <si>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</si>
  <si>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</si>
  <si>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</si>
  <si>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</si>
  <si>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</si>
  <si>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</si>
  <si>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</si>
  <si>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코드</t>
    <phoneticPr fontId="1" type="noConversion"/>
  </si>
  <si>
    <t>All</t>
  </si>
  <si>
    <t>개수: 과목</t>
  </si>
  <si>
    <t>열1</t>
    <phoneticPr fontId="1" type="noConversion"/>
  </si>
  <si>
    <t>열2</t>
    <phoneticPr fontId="1" type="noConversion"/>
  </si>
  <si>
    <t>AA102</t>
    <phoneticPr fontId="1" type="noConversion"/>
  </si>
  <si>
    <t>학생번호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</si>
  <si>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</si>
  <si>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</si>
  <si>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</si>
  <si>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</si>
  <si>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번호</t>
    <phoneticPr fontId="1" type="noConversion"/>
  </si>
  <si>
    <t>이름</t>
    <phoneticPr fontId="1" type="noConversion"/>
  </si>
  <si>
    <t>총합계</t>
    <phoneticPr fontId="1" type="noConversion"/>
  </si>
  <si>
    <t>A001</t>
    <phoneticPr fontId="1" type="noConversion"/>
  </si>
  <si>
    <t>윤혜정</t>
    <phoneticPr fontId="1" type="noConversion"/>
  </si>
  <si>
    <t>A002</t>
    <phoneticPr fontId="1" type="noConversion"/>
  </si>
  <si>
    <t>김미성</t>
    <phoneticPr fontId="1" type="noConversion"/>
  </si>
  <si>
    <t>A003</t>
    <phoneticPr fontId="1" type="noConversion"/>
  </si>
  <si>
    <t>남궁민</t>
    <phoneticPr fontId="1" type="noConversion"/>
  </si>
  <si>
    <t>B001</t>
    <phoneticPr fontId="1" type="noConversion"/>
  </si>
  <si>
    <t>정승제</t>
    <phoneticPr fontId="1" type="noConversion"/>
  </si>
  <si>
    <t>B002</t>
    <phoneticPr fontId="1" type="noConversion"/>
  </si>
  <si>
    <t>남치열</t>
    <phoneticPr fontId="1" type="noConversion"/>
  </si>
  <si>
    <t>B003</t>
    <phoneticPr fontId="1" type="noConversion"/>
  </si>
  <si>
    <t>김민성</t>
    <phoneticPr fontId="1" type="noConversion"/>
  </si>
  <si>
    <t>C001</t>
    <phoneticPr fontId="1" type="noConversion"/>
  </si>
  <si>
    <t>주혜연</t>
    <phoneticPr fontId="1" type="noConversion"/>
  </si>
  <si>
    <t>C002</t>
    <phoneticPr fontId="1" type="noConversion"/>
  </si>
  <si>
    <t>정승익</t>
    <phoneticPr fontId="1" type="noConversion"/>
  </si>
  <si>
    <t>C003</t>
    <phoneticPr fontId="1" type="noConversion"/>
  </si>
  <si>
    <t>조유정</t>
    <phoneticPr fontId="1" type="noConversion"/>
  </si>
  <si>
    <t>D001</t>
    <phoneticPr fontId="1" type="noConversion"/>
  </si>
  <si>
    <t>지현창</t>
    <phoneticPr fontId="1" type="noConversion"/>
  </si>
  <si>
    <t>D002</t>
    <phoneticPr fontId="1" type="noConversion"/>
  </si>
  <si>
    <t>문준혁</t>
    <phoneticPr fontId="1" type="noConversion"/>
  </si>
  <si>
    <t>D003</t>
    <phoneticPr fontId="1" type="noConversion"/>
  </si>
  <si>
    <t>김우인</t>
    <phoneticPr fontId="1" type="noConversion"/>
  </si>
  <si>
    <t>E001</t>
    <phoneticPr fontId="1" type="noConversion"/>
  </si>
  <si>
    <t>김민우</t>
    <phoneticPr fontId="1" type="noConversion"/>
  </si>
  <si>
    <t>E002</t>
    <phoneticPr fontId="1" type="noConversion"/>
  </si>
  <si>
    <t>김가연</t>
    <phoneticPr fontId="1" type="noConversion"/>
  </si>
  <si>
    <t>E003</t>
    <phoneticPr fontId="1" type="noConversion"/>
  </si>
  <si>
    <t>김연서</t>
    <phoneticPr fontId="1" type="noConversion"/>
  </si>
  <si>
    <t>F001</t>
    <phoneticPr fontId="1" type="noConversion"/>
  </si>
  <si>
    <t>강서예</t>
    <phoneticPr fontId="1" type="noConversion"/>
  </si>
  <si>
    <t>F002</t>
    <phoneticPr fontId="1" type="noConversion"/>
  </si>
  <si>
    <t>이지민</t>
    <phoneticPr fontId="1" type="noConversion"/>
  </si>
  <si>
    <t>F003</t>
    <phoneticPr fontId="1" type="noConversion"/>
  </si>
  <si>
    <t>구민재</t>
    <phoneticPr fontId="1" type="noConversion"/>
  </si>
  <si>
    <t>G002</t>
    <phoneticPr fontId="1" type="noConversion"/>
  </si>
  <si>
    <t>이영선</t>
    <phoneticPr fontId="1" type="noConversion"/>
  </si>
  <si>
    <t>G003</t>
    <phoneticPr fontId="1" type="noConversion"/>
  </si>
  <si>
    <t>강인성</t>
    <phoneticPr fontId="1" type="noConversion"/>
  </si>
  <si>
    <t>H001</t>
    <phoneticPr fontId="1" type="noConversion"/>
  </si>
  <si>
    <t>민우연</t>
    <phoneticPr fontId="1" type="noConversion"/>
  </si>
  <si>
    <t>H002</t>
    <phoneticPr fontId="1" type="noConversion"/>
  </si>
  <si>
    <t>김영민</t>
    <phoneticPr fontId="1" type="noConversion"/>
  </si>
  <si>
    <t>H003</t>
    <phoneticPr fontId="1" type="noConversion"/>
  </si>
  <si>
    <t>선영지</t>
    <phoneticPr fontId="1" type="noConversion"/>
  </si>
  <si>
    <t>이메일</t>
    <phoneticPr fontId="1" type="noConversion"/>
  </si>
  <si>
    <t>rhdqn01!</t>
    <phoneticPr fontId="1" type="noConversion"/>
  </si>
  <si>
    <t>강사명</t>
    <phoneticPr fontId="1" type="noConversion"/>
  </si>
  <si>
    <t>BA1-03</t>
    <phoneticPr fontId="1" type="noConversion"/>
  </si>
  <si>
    <t>수강중</t>
    <phoneticPr fontId="1" type="noConversion"/>
  </si>
  <si>
    <t>AA105</t>
    <phoneticPr fontId="1" type="noConversion"/>
  </si>
  <si>
    <t>수강완료</t>
    <phoneticPr fontId="1" type="noConversion"/>
  </si>
  <si>
    <t>AA101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</si>
</sst>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>
      <alignment vertical="center"/>
    </xf>
    <xf numFmtId="41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7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color rgb="FFFF0000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3" formatCode="_(* #,##0_);_(* \(#,##0\);_(* &quot;-&quot;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CCCC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ont>
        <b/>
        <i val="0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표 스타일 1" pivot="0" count="2">
      <tableStyleElement type="wholeTable" dxfId="77"/>
      <tableStyleElement type="headerRow" dxfId="76"/>
    </tableStyle>
    <tableStyle name="플랫 피벗 스타일" table="0" count="3">
      <tableStyleElement type="headerRow" dxfId="75"/>
      <tableStyleElement type="totalRow" dxfId="74"/>
      <tableStyleElement type="secondRowStripe" dxfId="73"/>
    </tableStyle>
  </tableStyles>
  <colors>
    <mruColors>
      <color rgb="FFFF5050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결제금액순 학생 </a:t>
            </a:r>
            <a:r>
              <a:rPr lang="en-US" altLang="ko-KR"/>
              <a:t>TOP5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학생!$R$1</c:f>
              <c:strCache>
                <c:ptCount val="1"/>
                <c:pt idx="0">
                  <c:v>결제금액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>
                  <a:shade val="53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27-4834-86BC-8705B438F7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27-4834-86BC-8705B438F7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27-4834-86BC-8705B438F7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27-4834-86BC-8705B438F7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tint val="54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427-4834-86BC-8705B438F7AE}"/>
              </c:ext>
            </c:extLst>
          </c:dPt>
          <c:cat>
            <c:strRef>
              <c:f>학생!$Q$2:$Q$6</c:f>
              <c:strCache>
                <c:ptCount val="5"/>
                <c:pt idx="0">
                  <c:v>김정우</c:v>
                </c:pt>
                <c:pt idx="1">
                  <c:v>최유림</c:v>
                </c:pt>
                <c:pt idx="2">
                  <c:v>강보현</c:v>
                </c:pt>
                <c:pt idx="3">
                  <c:v>김범준</c:v>
                </c:pt>
                <c:pt idx="4">
                  <c:v>차우인</c:v>
                </c:pt>
              </c:strCache>
            </c:strRef>
          </c:cat>
          <c:val>
            <c:numRef>
              <c:f>학생!$R$2:$R$6</c:f>
              <c:numCache>
                <c:formatCode>General</c:formatCode>
                <c:ptCount val="5"/>
                <c:pt idx="0">
                  <c:v>1751000</c:v>
                </c:pt>
                <c:pt idx="1">
                  <c:v>1565000</c:v>
                </c:pt>
                <c:pt idx="2">
                  <c:v>1360000</c:v>
                </c:pt>
                <c:pt idx="3">
                  <c:v>1108000</c:v>
                </c:pt>
                <c:pt idx="4">
                  <c:v>1105000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DF-414D-AD03-0F6B39343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4990736"/>
        <c:axId val="444991064"/>
      </c:barChart>
      <c:catAx>
        <c:axId val="44499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991064"/>
        <c:crosses val="autoZero"/>
        <c:auto val="1"/>
        <c:lblAlgn val="ctr"/>
        <c:lblOffset val="100"/>
        <c:noMultiLvlLbl val="0"/>
      </c:catAx>
      <c:valAx>
        <c:axId val="44499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49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자료처리!$Q$1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자료처리!$P$2:$P$4</c:f>
              <c:strCache>
                <c:ptCount val="3"/>
                <c:pt idx="0">
                  <c:v>남궁민</c:v>
                </c:pt>
                <c:pt idx="1">
                  <c:v>남치열</c:v>
                </c:pt>
                <c:pt idx="2">
                  <c:v>김민우</c:v>
                </c:pt>
              </c:strCache>
            </c:strRef>
          </c:cat>
          <c:val>
            <c:numRef>
              <c:f>자료처리!$Q$2:$Q$4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B-4EEB-B549-E8246DE1C24A}"/>
            </c:ext>
          </c:extLst>
        </c:ser>
        <c:ser>
          <c:idx val="1"/>
          <c:order val="1"/>
          <c:tx>
            <c:strRef>
              <c:f>자료처리!$R$1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자료처리!$P$2:$P$4</c:f>
              <c:strCache>
                <c:ptCount val="3"/>
                <c:pt idx="0">
                  <c:v>남궁민</c:v>
                </c:pt>
                <c:pt idx="1">
                  <c:v>남치열</c:v>
                </c:pt>
                <c:pt idx="2">
                  <c:v>김민우</c:v>
                </c:pt>
              </c:strCache>
            </c:strRef>
          </c:cat>
          <c:val>
            <c:numRef>
              <c:f>자료처리!$R$2:$R$4</c:f>
              <c:numCache>
                <c:formatCode>General</c:formatCode>
                <c:ptCount val="3"/>
                <c:pt idx="0">
                  <c:v>4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B-4EEB-B549-E8246DE1C24A}"/>
            </c:ext>
          </c:extLst>
        </c:ser>
        <c:ser>
          <c:idx val="2"/>
          <c:order val="2"/>
          <c:tx>
            <c:strRef>
              <c:f>자료처리!$S$1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자료처리!$P$2:$P$4</c:f>
              <c:strCache>
                <c:ptCount val="3"/>
                <c:pt idx="0">
                  <c:v>남궁민</c:v>
                </c:pt>
                <c:pt idx="1">
                  <c:v>남치열</c:v>
                </c:pt>
                <c:pt idx="2">
                  <c:v>김민우</c:v>
                </c:pt>
              </c:strCache>
            </c:strRef>
          </c:cat>
          <c:val>
            <c:numRef>
              <c:f>자료처리!$S$2:$S$4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76-48E8-8B0C-690E9ACE0EBA}"/>
            </c:ext>
          </c:extLst>
        </c:ser>
        <c:ser>
          <c:idx val="3"/>
          <c:order val="3"/>
          <c:tx>
            <c:strRef>
              <c:f>자료처리!$T$1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자료처리!$P$2:$P$4</c:f>
              <c:strCache>
                <c:ptCount val="3"/>
                <c:pt idx="0">
                  <c:v>남궁민</c:v>
                </c:pt>
                <c:pt idx="1">
                  <c:v>남치열</c:v>
                </c:pt>
                <c:pt idx="2">
                  <c:v>김민우</c:v>
                </c:pt>
              </c:strCache>
            </c:strRef>
          </c:cat>
          <c:val>
            <c:numRef>
              <c:f>자료처리!$T$2:$T$4</c:f>
              <c:numCache>
                <c:formatCode>General</c:formatCode>
                <c:ptCount val="3"/>
                <c:pt idx="0">
                  <c:v>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76-48E8-8B0C-690E9ACE0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1589952"/>
        <c:axId val="1581590936"/>
      </c:barChart>
      <c:catAx>
        <c:axId val="158158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1590936"/>
        <c:crosses val="autoZero"/>
        <c:auto val="1"/>
        <c:lblAlgn val="ctr"/>
        <c:lblOffset val="100"/>
        <c:noMultiLvlLbl val="0"/>
      </c:catAx>
      <c:valAx>
        <c:axId val="15815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1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466725</xdr:colOff>
      <xdr:row>1</xdr:row>
      <xdr:rowOff>38100</xdr:rowOff>
    </xdr:from>
    <xdr:to>
      <xdr:col>9</xdr:col>
      <xdr:colOff>419304</xdr:colOff>
      <xdr:row>16</xdr:row>
      <xdr:rowOff>95267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925" y="247650"/>
          <a:ext cx="3381579" cy="3200417"/>
        </a:xfrm>
        <a:prstGeom prst="rect">
          <a:avLst/>
        </a:prstGeom>
      </xdr:spPr>
    </xdr:pic>
    <xdr:clientData/>
  </xdr:twoCellAnchor>
  <xdr:oneCellAnchor>
    <xdr:from>
      <xdr:col>3</xdr:col>
      <xdr:colOff>367779</xdr:colOff>
      <xdr:row>17</xdr:row>
      <xdr:rowOff>17131</xdr:rowOff>
    </xdr:from>
    <xdr:ext cx="4960397" cy="937629"/>
    <xdr:sp macro="" textlink="">
      <xdr:nvSpPr>
        <xdr:cNvPr id="3" name="직사각형 2"/>
        <xdr:cNvSpPr/>
      </xdr:nvSpPr>
      <xdr:spPr>
        <a:xfrm>
          <a:off x="2425179" y="3579481"/>
          <a:ext cx="496039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ko-K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STUDYING CLASS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22</xdr:row>
          <xdr:rowOff>0</xdr:rowOff>
        </xdr:from>
        <xdr:to>
          <xdr:col>5</xdr:col>
          <xdr:colOff>9525</xdr:colOff>
          <xdr:row>24</xdr:row>
          <xdr:rowOff>114300</xdr:rowOff>
        </xdr:to>
        <xdr:sp macro="" textlink="">
          <xdr:nvSpPr>
            <xdr:cNvPr id="1025" name="CommandButton1" descr="로그인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8</xdr:col>
          <xdr:colOff>228600</xdr:colOff>
          <xdr:row>24</xdr:row>
          <xdr:rowOff>114300</xdr:rowOff>
        </xdr:to>
        <xdr:sp macro="" textlink="">
          <xdr:nvSpPr>
            <xdr:cNvPr id="1027" name="CommandButton2" descr="회원가입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22</xdr:row>
          <xdr:rowOff>0</xdr:rowOff>
        </xdr:from>
        <xdr:to>
          <xdr:col>11</xdr:col>
          <xdr:colOff>285750</xdr:colOff>
          <xdr:row>24</xdr:row>
          <xdr:rowOff>114300</xdr:rowOff>
        </xdr:to>
        <xdr:sp macro="" textlink="">
          <xdr:nvSpPr>
            <xdr:cNvPr id="1029" name="CommandButton3" descr="종료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25</xdr:row>
          <xdr:rowOff>47625</xdr:rowOff>
        </xdr:from>
        <xdr:to>
          <xdr:col>5</xdr:col>
          <xdr:colOff>9525</xdr:colOff>
          <xdr:row>27</xdr:row>
          <xdr:rowOff>161925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47625</xdr:rowOff>
        </xdr:from>
        <xdr:to>
          <xdr:col>8</xdr:col>
          <xdr:colOff>228600</xdr:colOff>
          <xdr:row>27</xdr:row>
          <xdr:rowOff>161925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25</xdr:row>
          <xdr:rowOff>47625</xdr:rowOff>
        </xdr:from>
        <xdr:to>
          <xdr:col>11</xdr:col>
          <xdr:colOff>285750</xdr:colOff>
          <xdr:row>27</xdr:row>
          <xdr:rowOff>161925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25</xdr:row>
          <xdr:rowOff>47625</xdr:rowOff>
        </xdr:from>
        <xdr:to>
          <xdr:col>6</xdr:col>
          <xdr:colOff>438150</xdr:colOff>
          <xdr:row>27</xdr:row>
          <xdr:rowOff>161925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25</xdr:row>
          <xdr:rowOff>47625</xdr:rowOff>
        </xdr:from>
        <xdr:to>
          <xdr:col>9</xdr:col>
          <xdr:colOff>542925</xdr:colOff>
          <xdr:row>27</xdr:row>
          <xdr:rowOff>161925</xdr:rowOff>
        </xdr:to>
        <xdr:sp macro="" textlink="">
          <xdr:nvSpPr>
            <xdr:cNvPr id="1034" name="CommandButton8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</xdr:row>
          <xdr:rowOff>9525</xdr:rowOff>
        </xdr:from>
        <xdr:to>
          <xdr:col>14</xdr:col>
          <xdr:colOff>533400</xdr:colOff>
          <xdr:row>3</xdr:row>
          <xdr:rowOff>57150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3</xdr:row>
          <xdr:rowOff>114300</xdr:rowOff>
        </xdr:from>
        <xdr:to>
          <xdr:col>14</xdr:col>
          <xdr:colOff>533400</xdr:colOff>
          <xdr:row>5</xdr:row>
          <xdr:rowOff>66675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123825</xdr:rowOff>
        </xdr:from>
        <xdr:to>
          <xdr:col>14</xdr:col>
          <xdr:colOff>628650</xdr:colOff>
          <xdr:row>5</xdr:row>
          <xdr:rowOff>47625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33617</xdr:colOff>
      <xdr:row>5</xdr:row>
      <xdr:rowOff>124384</xdr:rowOff>
    </xdr:from>
    <xdr:to>
      <xdr:col>16</xdr:col>
      <xdr:colOff>504264</xdr:colOff>
      <xdr:row>18</xdr:row>
      <xdr:rowOff>99731</xdr:rowOff>
    </xdr:to>
    <xdr:graphicFrame macro="">
      <xdr:nvGraphicFramePr>
        <xdr:cNvPr id="3" name="차트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57150</xdr:rowOff>
        </xdr:from>
        <xdr:to>
          <xdr:col>8</xdr:col>
          <xdr:colOff>590550</xdr:colOff>
          <xdr:row>2</xdr:row>
          <xdr:rowOff>9525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85725</xdr:rowOff>
        </xdr:from>
        <xdr:to>
          <xdr:col>4</xdr:col>
          <xdr:colOff>609600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57150</xdr:rowOff>
        </xdr:from>
        <xdr:to>
          <xdr:col>8</xdr:col>
          <xdr:colOff>533400</xdr:colOff>
          <xdr:row>2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</xdr:row>
          <xdr:rowOff>133350</xdr:rowOff>
        </xdr:from>
        <xdr:to>
          <xdr:col>8</xdr:col>
          <xdr:colOff>533400</xdr:colOff>
          <xdr:row>4</xdr:row>
          <xdr:rowOff>85725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3</xdr:row>
          <xdr:rowOff>66675</xdr:rowOff>
        </xdr:from>
        <xdr:to>
          <xdr:col>10</xdr:col>
          <xdr:colOff>123825</xdr:colOff>
          <xdr:row>4</xdr:row>
          <xdr:rowOff>85725</xdr:rowOff>
        </xdr:to>
        <xdr:sp macro="" textlink="">
          <xdr:nvSpPr>
            <xdr:cNvPr id="5123" name="ComboBox1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3</xdr:row>
          <xdr:rowOff>66675</xdr:rowOff>
        </xdr:from>
        <xdr:to>
          <xdr:col>12</xdr:col>
          <xdr:colOff>438150</xdr:colOff>
          <xdr:row>4</xdr:row>
          <xdr:rowOff>85725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123825</xdr:rowOff>
        </xdr:from>
        <xdr:to>
          <xdr:col>8</xdr:col>
          <xdr:colOff>552450</xdr:colOff>
          <xdr:row>4</xdr:row>
          <xdr:rowOff>142875</xdr:rowOff>
        </xdr:to>
        <xdr:sp macro="" textlink="">
          <xdr:nvSpPr>
            <xdr:cNvPr id="5125" name="Label1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3</xdr:row>
          <xdr:rowOff>123825</xdr:rowOff>
        </xdr:from>
        <xdr:to>
          <xdr:col>11</xdr:col>
          <xdr:colOff>161925</xdr:colOff>
          <xdr:row>4</xdr:row>
          <xdr:rowOff>142875</xdr:rowOff>
        </xdr:to>
        <xdr:sp macro="" textlink="">
          <xdr:nvSpPr>
            <xdr:cNvPr id="5126" name="Label2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114300</xdr:colOff>
      <xdr:row>4</xdr:row>
      <xdr:rowOff>190500</xdr:rowOff>
    </xdr:from>
    <xdr:to>
      <xdr:col>12</xdr:col>
      <xdr:colOff>571500</xdr:colOff>
      <xdr:row>18</xdr:row>
      <xdr:rowOff>0</xdr:rowOff>
    </xdr:to>
    <xdr:graphicFrame macro="">
      <xdr:nvGraphicFramePr>
        <xdr:cNvPr id="10" name="차트 9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66675</xdr:rowOff>
        </xdr:from>
        <xdr:to>
          <xdr:col>5</xdr:col>
          <xdr:colOff>638175</xdr:colOff>
          <xdr:row>2</xdr:row>
          <xdr:rowOff>85725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66675</xdr:rowOff>
        </xdr:from>
        <xdr:to>
          <xdr:col>12</xdr:col>
          <xdr:colOff>647699</xdr:colOff>
          <xdr:row>2</xdr:row>
          <xdr:rowOff>85725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28575</xdr:rowOff>
        </xdr:from>
        <xdr:to>
          <xdr:col>5</xdr:col>
          <xdr:colOff>619125</xdr:colOff>
          <xdr:row>2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773.533862037038" createdVersion="5" refreshedVersion="6" minRefreshableVersion="3" recordCount="0" supportSubquery="1" supportAdvancedDrill="1">
  <cacheSource type="external" connectionId="5"/>
  <cacheFields count="11">
    <cacheField name="[표2].[이름].[이름]" caption="이름" numFmtId="0" hierarchy="1" level="1">
      <sharedItems count="23">
        <s v="윤혜정"/>
        <s v="김미성"/>
        <s v="남궁민"/>
        <s v="정승제"/>
        <s v="남치열"/>
        <s v="김민성"/>
        <s v="주혜연"/>
        <s v="정승익"/>
        <s v="조유정"/>
        <s v="지현창"/>
        <s v="문준혁"/>
        <s v="김우인"/>
        <s v="김민우"/>
        <s v="김가연"/>
        <s v="김연서"/>
        <s v="강서예"/>
        <s v="이지민"/>
        <s v="구민재"/>
        <s v="이영선"/>
        <s v="강인성"/>
        <s v="민우연"/>
        <s v="김영민"/>
        <s v="선영지"/>
      </sharedItems>
    </cacheField>
    <cacheField name="[표2].[번호].[번호]" caption="번호" numFmtId="0" level="1">
      <sharedItems count="23">
        <s v="A001"/>
        <s v="A002"/>
        <s v="A003"/>
        <s v="B001"/>
        <s v="B002"/>
        <s v="B003"/>
        <s v="C001"/>
        <s v="C002"/>
        <s v="C003"/>
        <s v="D001"/>
        <s v="D002"/>
        <s v="D003"/>
        <s v="E001"/>
        <s v="E002"/>
        <s v="E003"/>
        <s v="F001"/>
        <s v="F002"/>
        <s v="F003"/>
        <s v="G002"/>
        <s v="G003"/>
        <s v="H001"/>
        <s v="H002"/>
        <s v="H003"/>
      </sharedItems>
    </cacheField>
    <cacheField name="[표6].[과목].[과목]" caption="과목" numFmtId="0" hierarchy="24" level="1">
      <sharedItems count="3">
        <s v="A"/>
        <s v="C"/>
        <s v="D"/>
      </sharedItems>
    </cacheField>
    <cacheField name="[Measures].[과목의 개수]" caption="과목의 개수" numFmtId="0" hierarchy="40" level="32767"/>
    <cacheField name="[표6].[학년].[학년]" caption="학년" numFmtId="0" hierarchy="25" level="1">
      <sharedItems containsSemiMixedTypes="0" containsNonDate="0" containsString="0"/>
    </cacheField>
    <cacheField name="[표8].[전체].[전체]" caption="전체" numFmtId="0" hierarchy="34" level="1">
      <sharedItems containsSemiMixedTypes="0" containsNonDate="0" containsString="0"/>
    </cacheField>
    <cacheField name="[표6].[A].[A]" caption="A" numFmtId="0" hierarchy="29" level="1">
      <sharedItems containsSemiMixedTypes="0" containsString="0" containsNumber="1" containsInteger="1" minValue="0" maxValue="1" count="2">
        <n v="1"/>
        <n v="0"/>
      </sharedItems>
      <extLst>
        <ext xmlns:x15="http://schemas.microsoft.com/office/spreadsheetml/2010/11/main" uri="{4F2E5C28-24EA-4eb8-9CBF-B6C8F9C3D259}">
          <x15:cachedUniqueNames>
            <x15:cachedUniqueName index="0" name="[표6].[A].&amp;[1]"/>
            <x15:cachedUniqueName index="1" name="[표6].[A].&amp;[0]"/>
          </x15:cachedUniqueNames>
        </ext>
      </extLst>
    </cacheField>
    <cacheField name="[표6].[B].[B]" caption="B" numFmtId="0" hierarchy="30" level="1">
      <sharedItems containsSemiMixedTypes="0" containsString="0" containsNumber="1" containsInteger="1" minValue="0" maxValue="1" count="2">
        <n v="0"/>
        <n v="1"/>
      </sharedItems>
      <extLst>
        <ext xmlns:x15="http://schemas.microsoft.com/office/spreadsheetml/2010/11/main" uri="{4F2E5C28-24EA-4eb8-9CBF-B6C8F9C3D259}">
          <x15:cachedUniqueNames>
            <x15:cachedUniqueName index="0" name="[표6].[B].&amp;[0]"/>
            <x15:cachedUniqueName index="1" name="[표6].[B].&amp;[1]"/>
          </x15:cachedUniqueNames>
        </ext>
      </extLst>
    </cacheField>
    <cacheField name="[표6].[C].[C]" caption="C" numFmtId="0" hierarchy="31" level="1">
      <sharedItems containsSemiMixedTypes="0" containsString="0" containsNumber="1" containsInteger="1" minValue="0" maxValue="1" count="2">
        <n v="0"/>
        <n v="1"/>
      </sharedItems>
      <extLst>
        <ext xmlns:x15="http://schemas.microsoft.com/office/spreadsheetml/2010/11/main" uri="{4F2E5C28-24EA-4eb8-9CBF-B6C8F9C3D259}">
          <x15:cachedUniqueNames>
            <x15:cachedUniqueName index="0" name="[표6].[C].&amp;[0]"/>
            <x15:cachedUniqueName index="1" name="[표6].[C].&amp;[1]"/>
          </x15:cachedUniqueNames>
        </ext>
      </extLst>
    </cacheField>
    <cacheField name="[표6].[D].[D]" caption="D" numFmtId="0" hierarchy="32" level="1">
      <sharedItems containsSemiMixedTypes="0" containsString="0" containsNumber="1" containsInteger="1" minValue="0" maxValue="1" count="2">
        <n v="0"/>
        <n v="1"/>
      </sharedItems>
      <extLst>
        <ext xmlns:x15="http://schemas.microsoft.com/office/spreadsheetml/2010/11/main" uri="{4F2E5C28-24EA-4eb8-9CBF-B6C8F9C3D259}">
          <x15:cachedUniqueNames>
            <x15:cachedUniqueName index="0" name="[표6].[D].&amp;[0]"/>
            <x15:cachedUniqueName index="1" name="[표6].[D].&amp;[1]"/>
          </x15:cachedUniqueNames>
        </ext>
      </extLst>
    </cacheField>
    <cacheField name="[표2].[총합계].[총합계]" caption="총합계" numFmtId="0" hierarchy="8" level="1">
      <sharedItems containsSemiMixedTypes="0" containsString="0" containsNumber="1" containsInteger="1" minValue="1" maxValue="11" count="9">
        <n v="1"/>
        <n v="2"/>
        <n v="3"/>
        <n v="4"/>
        <n v="5"/>
        <n v="6"/>
        <n v="7"/>
        <n v="9"/>
        <n v="11"/>
      </sharedItems>
      <extLst>
        <ext xmlns:x15="http://schemas.microsoft.com/office/spreadsheetml/2010/11/main" uri="{4F2E5C28-24EA-4eb8-9CBF-B6C8F9C3D259}">
          <x15:cachedUniqueNames>
            <x15:cachedUniqueName index="0" name="[표2].[총합계].&amp;[1]"/>
            <x15:cachedUniqueName index="1" name="[표2].[총합계].&amp;[2]"/>
            <x15:cachedUniqueName index="2" name="[표2].[총합계].&amp;[3]"/>
            <x15:cachedUniqueName index="3" name="[표2].[총합계].&amp;[4]"/>
            <x15:cachedUniqueName index="4" name="[표2].[총합계].&amp;[5]"/>
            <x15:cachedUniqueName index="5" name="[표2].[총합계].&amp;[6]"/>
            <x15:cachedUniqueName index="6" name="[표2].[총합계].&amp;[7]"/>
            <x15:cachedUniqueName index="7" name="[표2].[총합계].&amp;[9]"/>
            <x15:cachedUniqueName index="8" name="[표2].[총합계].&amp;[11]"/>
          </x15:cachedUniqueNames>
        </ext>
      </extLst>
    </cacheField>
  </cacheFields>
  <cacheHierarchies count="43">
    <cacheHierarchy uniqueName="[표2].[번호]" caption="번호" attribute="1" defaultMemberUniqueName="[표2].[번호].[All]" allUniqueName="[표2].[번호].[All]" dimensionUniqueName="[표2]" displayFolder="" count="2" memberValueDatatype="130" unbalanced="0">
      <fieldsUsage count="2">
        <fieldUsage x="-1"/>
        <fieldUsage x="1"/>
      </fieldsUsage>
    </cacheHierarchy>
    <cacheHierarchy uniqueName="[표2].[이름]" caption="이름" attribute="1" defaultMemberUniqueName="[표2].[이름].[All]" allUniqueName="[표2].[이름].[All]" dimensionUniqueName="[표2]" displayFolder="" count="2" memberValueDatatype="130" unbalanced="0">
      <fieldsUsage count="2">
        <fieldUsage x="-1"/>
        <fieldUsage x="0"/>
      </fieldsUsage>
    </cacheHierarchy>
    <cacheHierarchy uniqueName="[표2].[아이디]" caption="아이디" attribute="1" defaultMemberUniqueName="[표2].[아이디].[All]" allUniqueName="[표2].[아이디].[All]" dimensionUniqueName="[표2]" displayFolder="" count="0" memberValueDatatype="130" unbalanced="0"/>
    <cacheHierarchy uniqueName="[표2].[비밀번호]" caption="비밀번호" attribute="1" defaultMemberUniqueName="[표2].[비밀번호].[All]" allUniqueName="[표2].[비밀번호].[All]" dimensionUniqueName="[표2]" displayFolder="" count="0" memberValueDatatype="130" unbalanced="0"/>
    <cacheHierarchy uniqueName="[표2].[휴대폰]" caption="휴대폰" attribute="1" defaultMemberUniqueName="[표2].[휴대폰].[All]" allUniqueName="[표2].[휴대폰].[All]" dimensionUniqueName="[표2]" displayFolder="" count="0" memberValueDatatype="130" unbalanced="0"/>
    <cacheHierarchy uniqueName="[표2].[이메일]" caption="이메일" attribute="1" defaultMemberUniqueName="[표2].[이메일].[All]" allUniqueName="[표2].[이메일].[All]" dimensionUniqueName="[표2]" displayFolder="" count="0" memberValueDatatype="130" unbalanced="0"/>
    <cacheHierarchy uniqueName="[표2].[가입일]" caption="가입일" attribute="1" time="1" defaultMemberUniqueName="[표2].[가입일].[All]" allUniqueName="[표2].[가입일].[All]" dimensionUniqueName="[표2]" displayFolder="" count="0" memberValueDatatype="7" unbalanced="0"/>
    <cacheHierarchy uniqueName="[표2].[과목]" caption="과목" attribute="1" defaultMemberUniqueName="[표2].[과목].[All]" allUniqueName="[표2].[과목].[All]" dimensionUniqueName="[표2]" displayFolder="" count="0" memberValueDatatype="130" unbalanced="0"/>
    <cacheHierarchy uniqueName="[표2].[총합계]" caption="총합계" attribute="1" defaultMemberUniqueName="[표2].[총합계].[All]" allUniqueName="[표2].[총합계].[All]" dimensionUniqueName="[표2]" displayFolder="" count="2" memberValueDatatype="20" unbalanced="0">
      <fieldsUsage count="2">
        <fieldUsage x="-1"/>
        <fieldUsage x="10"/>
      </fieldsUsage>
    </cacheHierarchy>
    <cacheHierarchy uniqueName="[표4].[번호]" caption="번호" attribute="1" defaultMemberUniqueName="[표4].[번호].[All]" allUniqueName="[표4].[번호].[All]" dimensionUniqueName="[표4]" displayFolder="" count="0" memberValueDatatype="130" unbalanced="0"/>
    <cacheHierarchy uniqueName="[표4].[강사번호]" caption="강사번호" attribute="1" defaultMemberUniqueName="[표4].[강사번호].[All]" allUniqueName="[표4].[강사번호].[All]" dimensionUniqueName="[표4]" displayFolder="" count="0" memberValueDatatype="130" unbalanced="0"/>
    <cacheHierarchy uniqueName="[표4].[교재번호]" caption="교재번호" attribute="1" defaultMemberUniqueName="[표4].[교재번호].[All]" allUniqueName="[표4].[교재번호].[All]" dimensionUniqueName="[표4]" displayFolder="" count="0" memberValueDatatype="130" unbalanced="0"/>
    <cacheHierarchy uniqueName="[표4].[강의명]" caption="강의명" attribute="1" defaultMemberUniqueName="[표4].[강의명].[All]" allUniqueName="[표4].[강의명].[All]" dimensionUniqueName="[표4]" displayFolder="" count="0" memberValueDatatype="130" unbalanced="0"/>
    <cacheHierarchy uniqueName="[표4].[수강일]" caption="수강일" attribute="1" defaultMemberUniqueName="[표4].[수강일].[All]" allUniqueName="[표4].[수강일].[All]" dimensionUniqueName="[표4]" displayFolder="" count="0" memberValueDatatype="20" unbalanced="0"/>
    <cacheHierarchy uniqueName="[표4].[금액]" caption="금액" attribute="1" defaultMemberUniqueName="[표4].[금액].[All]" allUniqueName="[표4].[금액].[All]" dimensionUniqueName="[표4]" displayFolder="" count="0" memberValueDatatype="20" unbalanced="0"/>
    <cacheHierarchy uniqueName="[표6].[번호]" caption="번호" attribute="1" defaultMemberUniqueName="[표6].[번호].[All]" allUniqueName="[표6].[번호].[All]" dimensionUniqueName="[표6]" displayFolder="" count="0" memberValueDatatype="20" unbalanced="0"/>
    <cacheHierarchy uniqueName="[표6].[학생번호]" caption="학생번호" attribute="1" defaultMemberUniqueName="[표6].[학생번호].[All]" allUniqueName="[표6].[학생번호].[All]" dimensionUniqueName="[표6]" displayFolder="" count="0" memberValueDatatype="20" unbalanced="0"/>
    <cacheHierarchy uniqueName="[표6].[강의번호]" caption="강의번호" attribute="1" defaultMemberUniqueName="[표6].[강의번호].[All]" allUniqueName="[표6].[강의번호].[All]" dimensionUniqueName="[표6]" displayFolder="" count="0" memberValueDatatype="130" unbalanced="0"/>
    <cacheHierarchy uniqueName="[표6].[수강시작일]" caption="수강시작일" attribute="1" time="1" defaultMemberUniqueName="[표6].[수강시작일].[All]" allUniqueName="[표6].[수강시작일].[All]" dimensionUniqueName="[표6]" displayFolder="" count="0" memberValueDatatype="7" unbalanced="0"/>
    <cacheHierarchy uniqueName="[표6].[수강종료일]" caption="수강종료일" attribute="1" time="1" defaultMemberUniqueName="[표6].[수강종료일].[All]" allUniqueName="[표6].[수강종료일].[All]" dimensionUniqueName="[표6]" displayFolder="" count="0" memberValueDatatype="7" unbalanced="0"/>
    <cacheHierarchy uniqueName="[표6].[신청일]" caption="신청일" attribute="1" time="1" defaultMemberUniqueName="[표6].[신청일].[All]" allUniqueName="[표6].[신청일].[All]" dimensionUniqueName="[표6]" displayFolder="" count="0" memberValueDatatype="7" unbalanced="0"/>
    <cacheHierarchy uniqueName="[표6].[결제일]" caption="결제일" attribute="1" time="1" defaultMemberUniqueName="[표6].[결제일].[All]" allUniqueName="[표6].[결제일].[All]" dimensionUniqueName="[표6]" displayFolder="" count="0" memberValueDatatype="7" unbalanced="0"/>
    <cacheHierarchy uniqueName="[표6].[결제금액]" caption="결제금액" attribute="1" defaultMemberUniqueName="[표6].[결제금액].[All]" allUniqueName="[표6].[결제금액].[All]" dimensionUniqueName="[표6]" displayFolder="" count="0" memberValueDatatype="20" unbalanced="0"/>
    <cacheHierarchy uniqueName="[표6].[상태]" caption="상태" attribute="1" defaultMemberUniqueName="[표6].[상태].[All]" allUniqueName="[표6].[상태].[All]" dimensionUniqueName="[표6]" displayFolder="" count="0" memberValueDatatype="130" unbalanced="0"/>
    <cacheHierarchy uniqueName="[표6].[과목]" caption="과목" attribute="1" defaultMemberUniqueName="[표6].[과목].[All]" allUniqueName="[표6].[과목].[All]" dimensionUniqueName="[표6]" displayFolder="" count="2" memberValueDatatype="130" unbalanced="0">
      <fieldsUsage count="2">
        <fieldUsage x="-1"/>
        <fieldUsage x="2"/>
      </fieldsUsage>
    </cacheHierarchy>
    <cacheHierarchy uniqueName="[표6].[학년]" caption="학년" attribute="1" defaultMemberUniqueName="[표6].[학년].[All]" allUniqueName="[표6].[학년].[All]" dimensionUniqueName="[표6]" displayFolder="" count="2" memberValueDatatype="130" unbalanced="0">
      <fieldsUsage count="2">
        <fieldUsage x="-1"/>
        <fieldUsage x="4"/>
      </fieldsUsage>
    </cacheHierarchy>
    <cacheHierarchy uniqueName="[표6].[강사번호]" caption="강사번호" attribute="1" defaultMemberUniqueName="[표6].[강사번호].[All]" allUniqueName="[표6].[강사번호].[All]" dimensionUniqueName="[표6]" displayFolder="" count="0" memberValueDatatype="130" unbalanced="0"/>
    <cacheHierarchy uniqueName="[표6].[열1]" caption="열1" attribute="1" defaultMemberUniqueName="[표6].[열1].[All]" allUniqueName="[표6].[열1].[All]" dimensionUniqueName="[표6]" displayFolder="" count="0" memberValueDatatype="11" unbalanced="0"/>
    <cacheHierarchy uniqueName="[표6].[열2]" caption="열2" attribute="1" defaultMemberUniqueName="[표6].[열2].[All]" allUniqueName="[표6].[열2].[All]" dimensionUniqueName="[표6]" displayFolder="" count="0" memberValueDatatype="11" unbalanced="0"/>
    <cacheHierarchy uniqueName="[표6].[A]" caption="A" attribute="1" defaultMemberUniqueName="[표6].[A].[All]" allUniqueName="[표6].[A].[All]" dimensionUniqueName="[표6]" displayFolder="" count="2" memberValueDatatype="20" unbalanced="0">
      <fieldsUsage count="2">
        <fieldUsage x="-1"/>
        <fieldUsage x="6"/>
      </fieldsUsage>
    </cacheHierarchy>
    <cacheHierarchy uniqueName="[표6].[B]" caption="B" attribute="1" defaultMemberUniqueName="[표6].[B].[All]" allUniqueName="[표6].[B].[All]" dimensionUniqueName="[표6]" displayFolder="" count="2" memberValueDatatype="20" unbalanced="0">
      <fieldsUsage count="2">
        <fieldUsage x="-1"/>
        <fieldUsage x="7"/>
      </fieldsUsage>
    </cacheHierarchy>
    <cacheHierarchy uniqueName="[표6].[C]" caption="C" attribute="1" defaultMemberUniqueName="[표6].[C].[All]" allUniqueName="[표6].[C].[All]" dimensionUniqueName="[표6]" displayFolder="" count="2" memberValueDatatype="20" unbalanced="0">
      <fieldsUsage count="2">
        <fieldUsage x="-1"/>
        <fieldUsage x="8"/>
      </fieldsUsage>
    </cacheHierarchy>
    <cacheHierarchy uniqueName="[표6].[D]" caption="D" attribute="1" defaultMemberUniqueName="[표6].[D].[All]" allUniqueName="[표6].[D].[All]" dimensionUniqueName="[표6]" displayFolder="" count="2" memberValueDatatype="20" unbalanced="0">
      <fieldsUsage count="2">
        <fieldUsage x="-1"/>
        <fieldUsage x="9"/>
      </fieldsUsage>
    </cacheHierarchy>
    <cacheHierarchy uniqueName="[표8].[코드]" caption="코드" attribute="1" defaultMemberUniqueName="[표8].[코드].[All]" allUniqueName="[표8].[코드].[All]" dimensionUniqueName="[표8]" displayFolder="" count="0" memberValueDatatype="130" unbalanced="0"/>
    <cacheHierarchy uniqueName="[표8].[전체]" caption="전체" attribute="1" defaultMemberUniqueName="[표8].[전체].[All]" allUniqueName="[표8].[전체].[All]" dimensionUniqueName="[표8]" displayFolder="" count="2" memberValueDatatype="130" unbalanced="0">
      <fieldsUsage count="2">
        <fieldUsage x="-1"/>
        <fieldUsage x="5"/>
      </fieldsUsage>
    </cacheHierarchy>
    <cacheHierarchy uniqueName="[Measures].[__XL_Count 표6]" caption="__XL_Count 표6" measure="1" displayFolder="" measureGroup="표6" count="0" hidden="1"/>
    <cacheHierarchy uniqueName="[Measures].[__XL_Count 표2]" caption="__XL_Count 표2" measure="1" displayFolder="" measureGroup="표2" count="0" hidden="1"/>
    <cacheHierarchy uniqueName="[Measures].[__XL_Count 표4]" caption="__XL_Count 표4" measure="1" displayFolder="" measureGroup="표4" count="0" hidden="1"/>
    <cacheHierarchy uniqueName="[Measures].[__XL_Count 표8]" caption="__XL_Count 표8" measure="1" displayFolder="" measureGroup="표8" count="0" hidden="1"/>
    <cacheHierarchy uniqueName="[Measures].[__정의된 측정값 없음]" caption="__정의된 측정값 없음" measure="1" displayFolder="" count="0" hidden="1"/>
    <cacheHierarchy uniqueName="[Measures].[과목의 개수]" caption="과목의 개수" measure="1" displayFolder="" measureGroup="표6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개수: 이름]" caption="개수: 이름" measure="1" displayFolder="" measureGroup="표2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개수: 과목]" caption="개수: 과목" measure="1" displayFolder="" measureGroup="표2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5">
    <dimension measure="1" name="Measures" uniqueName="[Measures]" caption="Measures"/>
    <dimension name="표2" uniqueName="[표2]" caption="표2"/>
    <dimension name="표4" uniqueName="[표4]" caption="표4"/>
    <dimension name="표6" uniqueName="[표6]" caption="표6"/>
    <dimension name="표8" uniqueName="[표8]" caption="표8"/>
  </dimensions>
  <measureGroups count="4">
    <measureGroup name="표2" caption="표2"/>
    <measureGroup name="표4" caption="표4"/>
    <measureGroup name="표6" caption="표6"/>
    <measureGroup name="표8" caption="표8"/>
  </measureGroups>
  <maps count="10">
    <map measureGroup="0" dimension="1"/>
    <map measureGroup="0" dimension="4"/>
    <map measureGroup="1" dimension="1"/>
    <map measureGroup="1" dimension="2"/>
    <map measureGroup="1" dimension="4"/>
    <map measureGroup="2" dimension="1"/>
    <map measureGroup="2" dimension="2"/>
    <map measureGroup="2" dimension="3"/>
    <map measureGroup="2" dimension="4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7" cacheId="72" applyNumberFormats="0" applyBorderFormats="0" applyFontFormats="0" applyPatternFormats="0" applyAlignmentFormats="0" applyWidthHeightFormats="1" dataCaption="값" missingCaption="0" tag="78fd5d55-e72e-46c0-bd2f-937aedd67562" updatedVersion="6" minRefreshableVersion="3" showDrill="0" useAutoFormatting="1" subtotalHiddenItems="1" rowGrandTotals="0" itemPrintTitles="1" createdVersion="5" indent="0" compact="0" compactData="0" multipleFieldFilters="0" chartFormat="1">
  <location ref="A7:G34" firstHeaderRow="1" firstDataRow="5" firstDataCol="2" rowPageCount="2" colPageCount="1"/>
  <pivotFields count="11">
    <pivotField axis="axisRow" compact="0" allDrilled="1" outline="0" showAll="0" sortType="descending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allDrilled="1" outline="0" showAll="0" sortType="ascending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compact="0" allDrilled="1" outline="0" showAll="0" sortType="descending" defaultAttributeDrillState="1">
      <items count="4">
        <item x="2"/>
        <item x="1"/>
        <item x="0"/>
        <item t="default"/>
      </items>
    </pivotField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axis="axisCol" compact="0" allDrilled="1" outline="0" showAll="0" dataSourceSort="1" defaultSubtotal="0" defaultAttributeDrillState="1">
      <items count="2">
        <item x="0"/>
        <item x="1"/>
      </items>
    </pivotField>
    <pivotField axis="axisCol" compact="0" allDrilled="1" outline="0" showAll="0" dataSourceSort="1" defaultSubtotal="0" defaultAttributeDrillState="1">
      <items count="2">
        <item x="0"/>
        <item x="1"/>
      </items>
    </pivotField>
    <pivotField axis="axisCol" compact="0" allDrilled="1" outline="0" showAll="0" dataSourceSort="1" defaultSubtotal="0" defaultAttributeDrillState="1">
      <items count="2">
        <item x="0"/>
        <item x="1"/>
      </items>
    </pivotField>
    <pivotField axis="axisCol" compact="0" allDrilled="1" outline="0" showAll="0" dataSourceSort="1" defaultSubtotal="0" defaultAttributeDrillState="1">
      <items count="2">
        <item x="0"/>
        <item x="1"/>
      </items>
    </pivotField>
    <pivotField compact="0" allDrilled="1" outline="0" showAll="0" sortType="descending" defaultSubtotal="0" defaultAttributeDrillState="1">
      <items count="9">
        <item x="8"/>
        <item x="7"/>
        <item x="6"/>
        <item x="5"/>
        <item x="4"/>
        <item x="3"/>
        <item x="2"/>
        <item x="1"/>
        <item x="0"/>
      </items>
    </pivotField>
  </pivotFields>
  <rowFields count="2">
    <field x="1"/>
    <field x="0"/>
  </rowFields>
  <rowItems count="23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</rowItems>
  <colFields count="4">
    <field x="9"/>
    <field x="8"/>
    <field x="7"/>
    <field x="6"/>
  </colFields>
  <colItems count="5">
    <i>
      <x/>
      <x/>
      <x/>
      <x/>
    </i>
    <i r="2">
      <x v="1"/>
      <x v="1"/>
    </i>
    <i r="1">
      <x v="1"/>
      <x/>
      <x v="1"/>
    </i>
    <i>
      <x v="1"/>
      <x/>
      <x/>
      <x v="1"/>
    </i>
    <i t="grand">
      <x/>
    </i>
  </colItems>
  <pageFields count="2">
    <pageField fld="4" hier="25" name="[표6].[학년].[All]" cap="All"/>
    <pageField fld="5" hier="34" name="[표8].[전체].[All]" cap="All"/>
  </pageFields>
  <dataFields count="1">
    <dataField name="개수: 과목" fld="3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플랫 피벗 스타일" showRowHeaders="1" showColHeaders="1" showRowStripes="1" showColStripes="0" showLastColumn="1"/>
  <rowHierarchiesUsage count="2">
    <rowHierarchyUsage hierarchyUsage="0"/>
    <rowHierarchyUsage hierarchyUsage="1"/>
  </rowHierarchiesUsage>
  <colHierarchiesUsage count="4">
    <colHierarchyUsage hierarchyUsage="32"/>
    <colHierarchyUsage hierarchyUsage="31"/>
    <colHierarchyUsage hierarchyUsage="30"/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표2]"/>
        <x15:activeTabTopLevelEntity name="[표6]"/>
        <x15:activeTabTopLevelEntity name="[표8]"/>
      </x15:pivotTableUISettings>
    </ext>
  </extLst>
</pivotTableDefinition>
</file>

<file path=xl/tables/table1.xml><?xml version="1.0" encoding="utf-8"?>
<table xmlns="http://schemas.openxmlformats.org/spreadsheetml/2006/main" id="1" name="표1" displayName="표1" ref="A1:M31" totalsRowShown="0" headerRowDxfId="68" dataDxfId="67">
  <tableColumns count="13">
    <tableColumn id="1" name="번호" dataDxfId="66"/>
    <tableColumn id="2" name="이름" dataDxfId="65"/>
    <tableColumn id="3" name="아이디" dataDxfId="64"/>
    <tableColumn id="4" name="비밀번호" dataDxfId="63"/>
    <tableColumn id="5" name="휴대폰" dataDxfId="62"/>
    <tableColumn id="6" name="이메일" dataDxfId="61"/>
    <tableColumn id="7" name="학교" dataDxfId="60"/>
    <tableColumn id="8" name="학년" dataDxfId="59"/>
    <tableColumn id="9" name="가입일" dataDxfId="58"/>
    <tableColumn id="10" name="포인트" dataDxfId="57"/>
    <tableColumn id="11" name="분류" dataDxfId="56">
      <calculatedColumnFormula>INDEX(표3[분류],MATCH(표1[[#This Row],[학교]],표3[학교명],0))</calculatedColumnFormula>
    </tableColumn>
    <tableColumn id="12" name="결제금액" dataDxfId="55">
      <calculatedColumnFormula>SUMIF(표6[학생번호],표1[[#This Row],[번호]],표6[결제금액])</calculatedColumnFormula>
    </tableColumn>
    <tableColumn id="13" name="강의개수" dataDxfId="54">
      <calculatedColumnFormula>COUNTIF(표6[학생번호],표1[[#This Row],[번호]])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G25" totalsRowShown="0" headerRowDxfId="53" dataDxfId="52">
  <autoFilter ref="A1:G2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번호" dataDxfId="51"/>
    <tableColumn id="2" name="이름" dataDxfId="50"/>
    <tableColumn id="3" name="아이디" dataDxfId="49"/>
    <tableColumn id="4" name="비밀번호" dataDxfId="48"/>
    <tableColumn id="5" name="휴대폰" dataDxfId="47"/>
    <tableColumn id="6" name="이메일" dataDxfId="46"/>
    <tableColumn id="7" name="가입일" dataDxfId="45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3" name="표3" displayName="표3" ref="A1:C25" totalsRowShown="0" headerRowDxfId="44" dataDxfId="43">
  <autoFilter ref="A1:C25">
    <filterColumn colId="0" hiddenButton="1"/>
    <filterColumn colId="1" hiddenButton="1"/>
    <filterColumn colId="2" hiddenButton="1"/>
  </autoFilter>
  <tableColumns count="3">
    <tableColumn id="1" name="번호" dataDxfId="42"/>
    <tableColumn id="2" name="분류" dataDxfId="41"/>
    <tableColumn id="3" name="학교명" dataDxfId="40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A1:G361" totalsRowShown="0" headerRowDxfId="39" dataDxfId="38">
  <autoFilter ref="A1:G36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7">
    <tableColumn id="1" name="번호" dataDxfId="37"/>
    <tableColumn id="2" name="강사번호" dataDxfId="36"/>
    <tableColumn id="3" name="교재번호" dataDxfId="35"/>
    <tableColumn id="4" name="강의명" dataDxfId="34"/>
    <tableColumn id="5" name="수강일" dataDxfId="33"/>
    <tableColumn id="6" name="금액" dataDxfId="32"/>
    <tableColumn id="7" name="강사명" dataDxfId="31">
      <calculatedColumnFormula>VLOOKUP(표4[[#This Row],[강사번호]],표2[],2,FALSE)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1:D568" totalsRowShown="0" headerRowDxfId="30" dataDxfId="29">
  <autoFilter ref="A1:D568">
    <filterColumn colId="0" hiddenButton="1"/>
    <filterColumn colId="1" hiddenButton="1"/>
    <filterColumn colId="2" hiddenButton="1"/>
    <filterColumn colId="3" hiddenButton="1"/>
  </autoFilter>
  <tableColumns count="4">
    <tableColumn id="1" name="번호" dataDxfId="28"/>
    <tableColumn id="2" name="교재코드" dataDxfId="27"/>
    <tableColumn id="3" name="교재명" dataDxfId="26"/>
    <tableColumn id="4" name="판매가" dataDxfId="25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6" name="표6" displayName="표6" ref="A1:K101" totalsRowShown="0" headerRowDxfId="22" dataDxfId="21">
  <tableColumns count="11">
    <tableColumn id="1" name="번호" dataDxfId="20"/>
    <tableColumn id="2" name="학생번호" dataDxfId="19"/>
    <tableColumn id="3" name="강의번호" dataDxfId="18"/>
    <tableColumn id="4" name="수강시작일" dataDxfId="17"/>
    <tableColumn id="5" name="수강종료일" dataDxfId="16"/>
    <tableColumn id="6" name="신청일" dataDxfId="15"/>
    <tableColumn id="7" name="결제일" dataDxfId="14"/>
    <tableColumn id="8" name="결제금액" dataDxfId="13"/>
    <tableColumn id="9" name="상태" dataDxfId="12"/>
    <tableColumn id="10" name="열1" dataDxfId="11">
      <calculatedColumnFormula>AND(표6[[#This Row],[상태]]="신청",NOW()&gt;표6[[#This Row],[신청일]]+5)</calculatedColumnFormula>
    </tableColumn>
    <tableColumn id="11" name="열2" dataDxfId="10">
      <calculatedColumnFormula>IFERROR(RANK(표6[[#This Row],[결제금액]],표6[결제금액])/COUNT(표6[결제금액])&lt;=0.3,FALSE)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7" name="표7" displayName="표7" ref="A1:D34" totalsRowShown="0" headerRowDxfId="9" dataDxfId="8">
  <tableColumns count="4">
    <tableColumn id="1" name="번호" dataDxfId="7"/>
    <tableColumn id="2" name="학생번호" dataDxfId="6"/>
    <tableColumn id="3" name="교재번호" dataDxfId="5"/>
    <tableColumn id="4" name="결제일" dataDxfId="4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8" name="표8" displayName="표8" ref="Z1:AA9" totalsRowShown="0" headerRowDxfId="3" dataDxfId="2">
  <autoFilter ref="Z1:AA9">
    <filterColumn colId="0" hiddenButton="1"/>
    <filterColumn colId="1" hiddenButton="1"/>
  </autoFilter>
  <tableColumns count="2">
    <tableColumn id="1" name="코드" dataDxfId="1"/>
    <tableColumn id="2" name="전체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5" Type="http://schemas.openxmlformats.org/officeDocument/2006/relationships/image" Target="../media/image10.emf"/><Relationship Id="rId10" Type="http://schemas.openxmlformats.org/officeDocument/2006/relationships/table" Target="../tables/table1.xml"/><Relationship Id="rId4" Type="http://schemas.openxmlformats.org/officeDocument/2006/relationships/control" Target="../activeX/activeX9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control" Target="../activeX/activeX19.xml"/><Relationship Id="rId3" Type="http://schemas.openxmlformats.org/officeDocument/2006/relationships/control" Target="../activeX/activeX14.xml"/><Relationship Id="rId7" Type="http://schemas.openxmlformats.org/officeDocument/2006/relationships/control" Target="../activeX/activeX16.xml"/><Relationship Id="rId12" Type="http://schemas.openxmlformats.org/officeDocument/2006/relationships/image" Target="../media/image19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6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5" Type="http://schemas.openxmlformats.org/officeDocument/2006/relationships/table" Target="../tables/table4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7.xml"/><Relationship Id="rId14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5.xml"/><Relationship Id="rId4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7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R9" sqref="R9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CommandButton8">
          <controlPr autoLine="0" r:id="rId4">
            <anchor moveWithCells="1">
              <from>
                <xdr:col>7</xdr:col>
                <xdr:colOff>314325</xdr:colOff>
                <xdr:row>25</xdr:row>
                <xdr:rowOff>47625</xdr:rowOff>
              </from>
              <to>
                <xdr:col>9</xdr:col>
                <xdr:colOff>542925</xdr:colOff>
                <xdr:row>27</xdr:row>
                <xdr:rowOff>161925</xdr:rowOff>
              </to>
            </anchor>
          </controlPr>
        </control>
      </mc:Choice>
      <mc:Fallback>
        <control shapeId="1034" r:id="rId3" name="CommandButton8"/>
      </mc:Fallback>
    </mc:AlternateContent>
    <mc:AlternateContent xmlns:mc="http://schemas.openxmlformats.org/markup-compatibility/2006">
      <mc:Choice Requires="x14">
        <control shapeId="1033" r:id="rId5" name="CommandButton7">
          <controlPr autoLine="0" r:id="rId6">
            <anchor moveWithCells="1">
              <from>
                <xdr:col>4</xdr:col>
                <xdr:colOff>209550</xdr:colOff>
                <xdr:row>25</xdr:row>
                <xdr:rowOff>47625</xdr:rowOff>
              </from>
              <to>
                <xdr:col>6</xdr:col>
                <xdr:colOff>438150</xdr:colOff>
                <xdr:row>27</xdr:row>
                <xdr:rowOff>161925</xdr:rowOff>
              </to>
            </anchor>
          </controlPr>
        </control>
      </mc:Choice>
      <mc:Fallback>
        <control shapeId="1033" r:id="rId5" name="CommandButton7"/>
      </mc:Fallback>
    </mc:AlternateContent>
    <mc:AlternateContent xmlns:mc="http://schemas.openxmlformats.org/markup-compatibility/2006">
      <mc:Choice Requires="x14">
        <control shapeId="1032" r:id="rId7" name="CommandButton6">
          <controlPr autoLine="0" r:id="rId8">
            <anchor moveWithCells="1">
              <from>
                <xdr:col>9</xdr:col>
                <xdr:colOff>57150</xdr:colOff>
                <xdr:row>25</xdr:row>
                <xdr:rowOff>47625</xdr:rowOff>
              </from>
              <to>
                <xdr:col>11</xdr:col>
                <xdr:colOff>285750</xdr:colOff>
                <xdr:row>27</xdr:row>
                <xdr:rowOff>161925</xdr:rowOff>
              </to>
            </anchor>
          </controlPr>
        </control>
      </mc:Choice>
      <mc:Fallback>
        <control shapeId="1032" r:id="rId7" name="CommandButton6"/>
      </mc:Fallback>
    </mc:AlternateContent>
    <mc:AlternateContent xmlns:mc="http://schemas.openxmlformats.org/markup-compatibility/2006">
      <mc:Choice Requires="x14">
        <control shapeId="1031" r:id="rId9" name="CommandButton5">
          <controlPr autoLine="0" r:id="rId10">
            <anchor moveWithCells="1">
              <from>
                <xdr:col>6</xdr:col>
                <xdr:colOff>0</xdr:colOff>
                <xdr:row>25</xdr:row>
                <xdr:rowOff>47625</xdr:rowOff>
              </from>
              <to>
                <xdr:col>8</xdr:col>
                <xdr:colOff>228600</xdr:colOff>
                <xdr:row>27</xdr:row>
                <xdr:rowOff>161925</xdr:rowOff>
              </to>
            </anchor>
          </controlPr>
        </control>
      </mc:Choice>
      <mc:Fallback>
        <control shapeId="1031" r:id="rId9" name="CommandButton5"/>
      </mc:Fallback>
    </mc:AlternateContent>
    <mc:AlternateContent xmlns:mc="http://schemas.openxmlformats.org/markup-compatibility/2006">
      <mc:Choice Requires="x14">
        <control shapeId="1030" r:id="rId11" name="CommandButton4">
          <controlPr autoLine="0" r:id="rId12">
            <anchor moveWithCells="1">
              <from>
                <xdr:col>2</xdr:col>
                <xdr:colOff>466725</xdr:colOff>
                <xdr:row>25</xdr:row>
                <xdr:rowOff>47625</xdr:rowOff>
              </from>
              <to>
                <xdr:col>5</xdr:col>
                <xdr:colOff>9525</xdr:colOff>
                <xdr:row>27</xdr:row>
                <xdr:rowOff>161925</xdr:rowOff>
              </to>
            </anchor>
          </controlPr>
        </control>
      </mc:Choice>
      <mc:Fallback>
        <control shapeId="1030" r:id="rId11" name="CommandButton4"/>
      </mc:Fallback>
    </mc:AlternateContent>
    <mc:AlternateContent xmlns:mc="http://schemas.openxmlformats.org/markup-compatibility/2006">
      <mc:Choice Requires="x14">
        <control shapeId="1029" r:id="rId13" name="CommandButton3">
          <controlPr autoLine="0" altText="종료" r:id="rId14">
            <anchor moveWithCells="1">
              <from>
                <xdr:col>9</xdr:col>
                <xdr:colOff>57150</xdr:colOff>
                <xdr:row>22</xdr:row>
                <xdr:rowOff>0</xdr:rowOff>
              </from>
              <to>
                <xdr:col>11</xdr:col>
                <xdr:colOff>285750</xdr:colOff>
                <xdr:row>24</xdr:row>
                <xdr:rowOff>114300</xdr:rowOff>
              </to>
            </anchor>
          </controlPr>
        </control>
      </mc:Choice>
      <mc:Fallback>
        <control shapeId="1029" r:id="rId13" name="CommandButton3"/>
      </mc:Fallback>
    </mc:AlternateContent>
    <mc:AlternateContent xmlns:mc="http://schemas.openxmlformats.org/markup-compatibility/2006">
      <mc:Choice Requires="x14">
        <control shapeId="1027" r:id="rId15" name="CommandButton2">
          <controlPr autoLine="0" altText="회원가입" r:id="rId16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8</xdr:col>
                <xdr:colOff>228600</xdr:colOff>
                <xdr:row>24</xdr:row>
                <xdr:rowOff>114300</xdr:rowOff>
              </to>
            </anchor>
          </controlPr>
        </control>
      </mc:Choice>
      <mc:Fallback>
        <control shapeId="1027" r:id="rId15" name="CommandButton2"/>
      </mc:Fallback>
    </mc:AlternateContent>
    <mc:AlternateContent xmlns:mc="http://schemas.openxmlformats.org/markup-compatibility/2006">
      <mc:Choice Requires="x14">
        <control shapeId="1025" r:id="rId17" name="CommandButton1">
          <controlPr autoLine="0" altText="로그인" r:id="rId18">
            <anchor moveWithCells="1">
              <from>
                <xdr:col>2</xdr:col>
                <xdr:colOff>466725</xdr:colOff>
                <xdr:row>22</xdr:row>
                <xdr:rowOff>0</xdr:rowOff>
              </from>
              <to>
                <xdr:col>5</xdr:col>
                <xdr:colOff>9525</xdr:colOff>
                <xdr:row>24</xdr:row>
                <xdr:rowOff>114300</xdr:rowOff>
              </to>
            </anchor>
          </controlPr>
        </control>
      </mc:Choice>
      <mc:Fallback>
        <control shapeId="1025" r:id="rId1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1"/>
  <sheetViews>
    <sheetView zoomScale="85" zoomScaleNormal="85" workbookViewId="0">
      <selection activeCell="P8" sqref="P8"/>
    </sheetView>
  </sheetViews>
  <sheetFormatPr defaultRowHeight="16.5" x14ac:dyDescent="0.3"/>
  <cols>
    <col min="1" max="1" width="6.5" style="2" customWidth="1"/>
    <col min="2" max="2" width="7.125" style="2" customWidth="1"/>
    <col min="3" max="3" width="8.625" style="2" customWidth="1"/>
    <col min="4" max="4" width="10.25" style="2" customWidth="1"/>
    <col min="5" max="5" width="14.5" style="2" customWidth="1"/>
    <col min="6" max="6" width="19.5" style="2" customWidth="1"/>
    <col min="7" max="7" width="13" style="2" customWidth="1"/>
    <col min="8" max="8" width="6.5" style="2" customWidth="1"/>
    <col min="9" max="9" width="12.5" style="2" customWidth="1"/>
    <col min="10" max="10" width="8.5" style="2" customWidth="1"/>
    <col min="11" max="11" width="0" hidden="1" customWidth="1"/>
    <col min="12" max="12" width="9.875" style="8" hidden="1" customWidth="1"/>
    <col min="13" max="13" width="0" hidden="1" customWidth="1"/>
    <col min="16" max="17" width="9" style="13"/>
    <col min="18" max="18" width="9.875" style="13" bestFit="1" customWidth="1"/>
    <col min="24" max="24" width="12" customWidth="1"/>
    <col min="25" max="25" width="15.25" customWidth="1"/>
    <col min="26" max="26" width="12" customWidth="1"/>
    <col min="27" max="32" width="11.875" bestFit="1" customWidth="1"/>
    <col min="33" max="33" width="7.375" customWidth="1"/>
  </cols>
  <sheetData>
    <row r="1" spans="1:2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2570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2460</v>
      </c>
      <c r="L1" s="7" t="s">
        <v>2461</v>
      </c>
      <c r="M1" s="2" t="s">
        <v>2462</v>
      </c>
      <c r="P1" s="13" t="s">
        <v>0</v>
      </c>
      <c r="Q1" s="13" t="s">
        <v>1</v>
      </c>
      <c r="R1" s="13" t="s">
        <v>2461</v>
      </c>
    </row>
    <row r="2" spans="1:25" x14ac:dyDescent="0.3">
      <c r="A2" s="2">
        <v>1</v>
      </c>
      <c r="B2" s="2" t="s">
        <v>10</v>
      </c>
      <c r="C2" s="2" t="s">
        <v>11</v>
      </c>
      <c r="D2" s="2" t="s">
        <v>2571</v>
      </c>
      <c r="E2" s="2" t="s">
        <v>12</v>
      </c>
      <c r="F2" s="2" t="s">
        <v>13</v>
      </c>
      <c r="G2" s="2" t="s">
        <v>14</v>
      </c>
      <c r="H2" s="2">
        <v>3</v>
      </c>
      <c r="I2" s="3">
        <v>44772</v>
      </c>
      <c r="J2" s="2">
        <v>5500</v>
      </c>
      <c r="K2" s="2">
        <f>INDEX(표3[분류],MATCH(표1[[#This Row],[학교]],표3[학교명],0))</f>
        <v>3</v>
      </c>
      <c r="L2" s="7">
        <f>SUMIF(표6[학생번호],표1[[#This Row],[번호]],표6[결제금액])</f>
        <v>1360000</v>
      </c>
      <c r="M2" s="2">
        <f>COUNTIF(표6[학생번호],표1[[#This Row],[번호]])</f>
        <v>19</v>
      </c>
      <c r="P2" s="13">
        <v>13</v>
      </c>
      <c r="Q2" s="13" t="s">
        <v>78</v>
      </c>
      <c r="R2" s="13">
        <v>1751000</v>
      </c>
    </row>
    <row r="3" spans="1:25" x14ac:dyDescent="0.3">
      <c r="A3" s="2">
        <v>2</v>
      </c>
      <c r="B3" s="2" t="s">
        <v>15</v>
      </c>
      <c r="C3" s="2" t="s">
        <v>16</v>
      </c>
      <c r="D3" s="2" t="s">
        <v>17</v>
      </c>
      <c r="E3" s="2" t="s">
        <v>18</v>
      </c>
      <c r="F3" s="2" t="s">
        <v>19</v>
      </c>
      <c r="G3" s="2" t="s">
        <v>20</v>
      </c>
      <c r="H3" s="2">
        <v>1</v>
      </c>
      <c r="I3" s="3">
        <v>44803</v>
      </c>
      <c r="J3" s="2">
        <v>791400</v>
      </c>
      <c r="K3" s="2">
        <f>INDEX(표3[분류],MATCH(표1[[#This Row],[학교]],표3[학교명],0))</f>
        <v>2</v>
      </c>
      <c r="L3" s="7">
        <f>SUMIF(표6[학생번호],표1[[#This Row],[번호]],표6[결제금액])</f>
        <v>1105000</v>
      </c>
      <c r="M3" s="2">
        <f>COUNTIF(표6[학생번호],표1[[#This Row],[번호]])</f>
        <v>8</v>
      </c>
      <c r="P3" s="13">
        <v>21</v>
      </c>
      <c r="Q3" s="13" t="s">
        <v>121</v>
      </c>
      <c r="R3" s="13">
        <v>1565000</v>
      </c>
    </row>
    <row r="4" spans="1:25" x14ac:dyDescent="0.3">
      <c r="A4" s="2">
        <v>3</v>
      </c>
      <c r="B4" s="2" t="s">
        <v>21</v>
      </c>
      <c r="C4" s="2" t="s">
        <v>22</v>
      </c>
      <c r="D4" s="2" t="s">
        <v>23</v>
      </c>
      <c r="E4" s="2" t="s">
        <v>24</v>
      </c>
      <c r="F4" s="2" t="s">
        <v>25</v>
      </c>
      <c r="G4" s="2" t="s">
        <v>26</v>
      </c>
      <c r="H4" s="2">
        <v>2</v>
      </c>
      <c r="I4" s="3">
        <v>44802</v>
      </c>
      <c r="J4" s="2">
        <v>8900</v>
      </c>
      <c r="K4" s="2">
        <f>INDEX(표3[분류],MATCH(표1[[#This Row],[학교]],표3[학교명],0))</f>
        <v>1</v>
      </c>
      <c r="L4" s="7">
        <f>SUMIF(표6[학생번호],표1[[#This Row],[번호]],표6[결제금액])</f>
        <v>178000</v>
      </c>
      <c r="M4" s="2">
        <f>COUNTIF(표6[학생번호],표1[[#This Row],[번호]])</f>
        <v>4</v>
      </c>
      <c r="P4" s="13">
        <v>1</v>
      </c>
      <c r="Q4" s="13" t="s">
        <v>10</v>
      </c>
      <c r="R4" s="13">
        <v>1360000</v>
      </c>
    </row>
    <row r="5" spans="1:25" x14ac:dyDescent="0.3">
      <c r="A5" s="2">
        <v>4</v>
      </c>
      <c r="B5" s="2" t="s">
        <v>27</v>
      </c>
      <c r="C5" s="2" t="s">
        <v>28</v>
      </c>
      <c r="D5" s="2" t="s">
        <v>29</v>
      </c>
      <c r="E5" s="2" t="s">
        <v>30</v>
      </c>
      <c r="F5" s="2" t="s">
        <v>31</v>
      </c>
      <c r="G5" s="2" t="s">
        <v>26</v>
      </c>
      <c r="H5" s="2">
        <v>3</v>
      </c>
      <c r="I5" s="3">
        <v>44562</v>
      </c>
      <c r="J5" s="2">
        <v>12000</v>
      </c>
      <c r="K5" s="2">
        <f>INDEX(표3[분류],MATCH(표1[[#This Row],[학교]],표3[학교명],0))</f>
        <v>1</v>
      </c>
      <c r="L5" s="7">
        <f>SUMIF(표6[학생번호],표1[[#This Row],[번호]],표6[결제금액])</f>
        <v>161000</v>
      </c>
      <c r="M5" s="2">
        <f>COUNTIF(표6[학생번호],표1[[#This Row],[번호]])</f>
        <v>4</v>
      </c>
      <c r="P5" s="13">
        <v>24</v>
      </c>
      <c r="Q5" s="13" t="s">
        <v>138</v>
      </c>
      <c r="R5" s="13">
        <v>1108000</v>
      </c>
    </row>
    <row r="6" spans="1:25" x14ac:dyDescent="0.3">
      <c r="A6" s="2">
        <v>5</v>
      </c>
      <c r="B6" s="2" t="s">
        <v>32</v>
      </c>
      <c r="C6" s="2" t="s">
        <v>33</v>
      </c>
      <c r="D6" s="2" t="s">
        <v>34</v>
      </c>
      <c r="E6" s="2" t="s">
        <v>35</v>
      </c>
      <c r="F6" s="2" t="s">
        <v>36</v>
      </c>
      <c r="G6" s="2" t="s">
        <v>37</v>
      </c>
      <c r="H6" s="2">
        <v>3</v>
      </c>
      <c r="I6" s="3">
        <v>44613</v>
      </c>
      <c r="J6" s="2">
        <v>2000</v>
      </c>
      <c r="K6" s="2">
        <f>INDEX(표3[분류],MATCH(표1[[#This Row],[학교]],표3[학교명],0))</f>
        <v>1</v>
      </c>
      <c r="L6" s="7">
        <f>SUMIF(표6[학생번호],표1[[#This Row],[번호]],표6[결제금액])</f>
        <v>0</v>
      </c>
      <c r="M6" s="2">
        <f>COUNTIF(표6[학생번호],표1[[#This Row],[번호]])</f>
        <v>1</v>
      </c>
      <c r="P6" s="13">
        <v>2</v>
      </c>
      <c r="Q6" s="13" t="s">
        <v>15</v>
      </c>
      <c r="R6" s="13">
        <v>1105000</v>
      </c>
    </row>
    <row r="7" spans="1:25" x14ac:dyDescent="0.3">
      <c r="A7" s="2">
        <v>6</v>
      </c>
      <c r="B7" s="2" t="s">
        <v>38</v>
      </c>
      <c r="C7" s="2" t="s">
        <v>39</v>
      </c>
      <c r="D7" s="2" t="s">
        <v>40</v>
      </c>
      <c r="E7" s="2" t="s">
        <v>41</v>
      </c>
      <c r="F7" s="2" t="s">
        <v>42</v>
      </c>
      <c r="G7" s="2" t="s">
        <v>43</v>
      </c>
      <c r="H7" s="2">
        <v>2</v>
      </c>
      <c r="I7" s="3">
        <v>44673</v>
      </c>
      <c r="J7" s="2">
        <v>5200</v>
      </c>
      <c r="K7" s="2">
        <f>INDEX(표3[분류],MATCH(표1[[#This Row],[학교]],표3[학교명],0))</f>
        <v>3</v>
      </c>
      <c r="L7" s="7">
        <f>SUMIF(표6[학생번호],표1[[#This Row],[번호]],표6[결제금액])</f>
        <v>157000</v>
      </c>
      <c r="M7" s="2">
        <f>COUNTIF(표6[학생번호],표1[[#This Row],[번호]])</f>
        <v>2</v>
      </c>
    </row>
    <row r="8" spans="1:25" x14ac:dyDescent="0.3">
      <c r="A8" s="2">
        <v>7</v>
      </c>
      <c r="B8" s="2" t="s">
        <v>44</v>
      </c>
      <c r="C8" s="2" t="s">
        <v>45</v>
      </c>
      <c r="D8" s="2" t="s">
        <v>46</v>
      </c>
      <c r="E8" s="2" t="s">
        <v>47</v>
      </c>
      <c r="F8" s="2" t="s">
        <v>48</v>
      </c>
      <c r="G8" s="2" t="s">
        <v>49</v>
      </c>
      <c r="H8" s="2">
        <v>3</v>
      </c>
      <c r="I8" s="3">
        <v>44694</v>
      </c>
      <c r="J8" s="2">
        <v>8300</v>
      </c>
      <c r="K8" s="2">
        <f>INDEX(표3[분류],MATCH(표1[[#This Row],[학교]],표3[학교명],0))</f>
        <v>3</v>
      </c>
      <c r="L8" s="7">
        <f>SUMIF(표6[학생번호],표1[[#This Row],[번호]],표6[결제금액])</f>
        <v>208000</v>
      </c>
      <c r="M8" s="2">
        <f>COUNTIF(표6[학생번호],표1[[#This Row],[번호]])</f>
        <v>5</v>
      </c>
    </row>
    <row r="9" spans="1:25" x14ac:dyDescent="0.3">
      <c r="A9" s="2">
        <v>8</v>
      </c>
      <c r="B9" s="2" t="s">
        <v>50</v>
      </c>
      <c r="C9" s="2" t="s">
        <v>51</v>
      </c>
      <c r="D9" s="2" t="s">
        <v>52</v>
      </c>
      <c r="E9" s="2" t="s">
        <v>53</v>
      </c>
      <c r="F9" s="2" t="s">
        <v>54</v>
      </c>
      <c r="G9" s="2" t="s">
        <v>20</v>
      </c>
      <c r="H9" s="2">
        <v>1</v>
      </c>
      <c r="I9" s="3">
        <v>44616</v>
      </c>
      <c r="J9" s="2">
        <v>5400</v>
      </c>
      <c r="K9" s="2">
        <f>INDEX(표3[분류],MATCH(표1[[#This Row],[학교]],표3[학교명],0))</f>
        <v>2</v>
      </c>
      <c r="L9" s="7">
        <f>SUMIF(표6[학생번호],표1[[#This Row],[번호]],표6[결제금액])</f>
        <v>70000</v>
      </c>
      <c r="M9" s="2">
        <f>COUNTIF(표6[학생번호],표1[[#This Row],[번호]])</f>
        <v>1</v>
      </c>
    </row>
    <row r="10" spans="1:25" x14ac:dyDescent="0.3">
      <c r="A10" s="2">
        <v>9</v>
      </c>
      <c r="B10" s="2" t="s">
        <v>55</v>
      </c>
      <c r="C10" s="2" t="s">
        <v>56</v>
      </c>
      <c r="D10" s="2" t="s">
        <v>57</v>
      </c>
      <c r="E10" s="2" t="s">
        <v>58</v>
      </c>
      <c r="F10" s="2" t="s">
        <v>59</v>
      </c>
      <c r="G10" s="2" t="s">
        <v>43</v>
      </c>
      <c r="H10" s="2">
        <v>2</v>
      </c>
      <c r="I10" s="3">
        <v>44733</v>
      </c>
      <c r="J10" s="2">
        <v>2000</v>
      </c>
      <c r="K10" s="2">
        <f>INDEX(표3[분류],MATCH(표1[[#This Row],[학교]],표3[학교명],0))</f>
        <v>3</v>
      </c>
      <c r="L10" s="7">
        <f>SUMIF(표6[학생번호],표1[[#This Row],[번호]],표6[결제금액])</f>
        <v>15000</v>
      </c>
      <c r="M10" s="2">
        <f>COUNTIF(표6[학생번호],표1[[#This Row],[번호]])</f>
        <v>3</v>
      </c>
    </row>
    <row r="11" spans="1:25" x14ac:dyDescent="0.3">
      <c r="A11" s="2">
        <v>10</v>
      </c>
      <c r="B11" s="2" t="s">
        <v>60</v>
      </c>
      <c r="C11" s="2" t="s">
        <v>61</v>
      </c>
      <c r="D11" s="2" t="s">
        <v>62</v>
      </c>
      <c r="E11" s="2" t="s">
        <v>63</v>
      </c>
      <c r="F11" s="2" t="s">
        <v>64</v>
      </c>
      <c r="G11" s="2" t="s">
        <v>65</v>
      </c>
      <c r="H11" s="2">
        <v>3</v>
      </c>
      <c r="I11" s="3">
        <v>44677</v>
      </c>
      <c r="J11" s="2">
        <v>9800</v>
      </c>
      <c r="K11" s="2">
        <f>INDEX(표3[분류],MATCH(표1[[#This Row],[학교]],표3[학교명],0))</f>
        <v>1</v>
      </c>
      <c r="L11" s="7">
        <f>SUMIF(표6[학생번호],표1[[#This Row],[번호]],표6[결제금액])</f>
        <v>154000</v>
      </c>
      <c r="M11" s="2">
        <f>COUNTIF(표6[학생번호],표1[[#This Row],[번호]])</f>
        <v>3</v>
      </c>
    </row>
    <row r="12" spans="1:25" x14ac:dyDescent="0.3">
      <c r="A12" s="2">
        <v>11</v>
      </c>
      <c r="B12" s="2" t="s">
        <v>66</v>
      </c>
      <c r="C12" s="2" t="s">
        <v>67</v>
      </c>
      <c r="D12" s="2" t="s">
        <v>68</v>
      </c>
      <c r="E12" s="2" t="s">
        <v>69</v>
      </c>
      <c r="F12" s="2" t="s">
        <v>70</v>
      </c>
      <c r="G12" s="2" t="s">
        <v>71</v>
      </c>
      <c r="H12" s="2">
        <v>1</v>
      </c>
      <c r="I12" s="3">
        <v>44643</v>
      </c>
      <c r="J12" s="2">
        <v>10000</v>
      </c>
      <c r="K12" s="2">
        <f>INDEX(표3[분류],MATCH(표1[[#This Row],[학교]],표3[학교명],0))</f>
        <v>2</v>
      </c>
      <c r="L12" s="7">
        <f>SUMIF(표6[학생번호],표1[[#This Row],[번호]],표6[결제금액])</f>
        <v>75000</v>
      </c>
      <c r="M12" s="2">
        <f>COUNTIF(표6[학생번호],표1[[#This Row],[번호]])</f>
        <v>1</v>
      </c>
    </row>
    <row r="13" spans="1:25" x14ac:dyDescent="0.3">
      <c r="A13" s="2">
        <v>12</v>
      </c>
      <c r="B13" s="2" t="s">
        <v>72</v>
      </c>
      <c r="C13" s="2" t="s">
        <v>73</v>
      </c>
      <c r="D13" s="2" t="s">
        <v>74</v>
      </c>
      <c r="E13" s="2" t="s">
        <v>75</v>
      </c>
      <c r="F13" s="2" t="s">
        <v>76</v>
      </c>
      <c r="G13" s="2" t="s">
        <v>77</v>
      </c>
      <c r="H13" s="2">
        <v>2</v>
      </c>
      <c r="I13" s="3">
        <v>44683</v>
      </c>
      <c r="J13" s="2">
        <v>12000</v>
      </c>
      <c r="K13" s="2">
        <f>INDEX(표3[분류],MATCH(표1[[#This Row],[학교]],표3[학교명],0))</f>
        <v>1</v>
      </c>
      <c r="L13" s="7">
        <f>SUMIF(표6[학생번호],표1[[#This Row],[번호]],표6[결제금액])</f>
        <v>156000</v>
      </c>
      <c r="M13" s="2">
        <f>COUNTIF(표6[학생번호],표1[[#This Row],[번호]])</f>
        <v>2</v>
      </c>
      <c r="X13" s="5"/>
      <c r="Y13" s="6"/>
    </row>
    <row r="14" spans="1:25" x14ac:dyDescent="0.3">
      <c r="A14" s="2">
        <v>13</v>
      </c>
      <c r="B14" s="2" t="s">
        <v>78</v>
      </c>
      <c r="C14" s="2" t="s">
        <v>79</v>
      </c>
      <c r="D14" s="2" t="s">
        <v>80</v>
      </c>
      <c r="E14" s="2" t="s">
        <v>81</v>
      </c>
      <c r="F14" s="2" t="s">
        <v>82</v>
      </c>
      <c r="G14" s="2" t="s">
        <v>83</v>
      </c>
      <c r="H14" s="2">
        <v>3</v>
      </c>
      <c r="I14" s="3">
        <v>44565</v>
      </c>
      <c r="J14" s="2">
        <v>7800</v>
      </c>
      <c r="K14" s="2">
        <f>INDEX(표3[분류],MATCH(표1[[#This Row],[학교]],표3[학교명],0))</f>
        <v>2</v>
      </c>
      <c r="L14" s="7">
        <f>SUMIF(표6[학생번호],표1[[#This Row],[번호]],표6[결제금액])</f>
        <v>1751000</v>
      </c>
      <c r="M14" s="2">
        <f>COUNTIF(표6[학생번호],표1[[#This Row],[번호]])</f>
        <v>7</v>
      </c>
      <c r="X14" s="5"/>
      <c r="Y14" s="6"/>
    </row>
    <row r="15" spans="1:25" x14ac:dyDescent="0.3">
      <c r="A15" s="2">
        <v>14</v>
      </c>
      <c r="B15" s="2" t="s">
        <v>84</v>
      </c>
      <c r="C15" s="2" t="s">
        <v>85</v>
      </c>
      <c r="D15" s="2" t="s">
        <v>86</v>
      </c>
      <c r="E15" s="2" t="s">
        <v>87</v>
      </c>
      <c r="F15" s="2" t="s">
        <v>88</v>
      </c>
      <c r="G15" s="2" t="s">
        <v>37</v>
      </c>
      <c r="H15" s="2">
        <v>3</v>
      </c>
      <c r="I15" s="3">
        <v>44627</v>
      </c>
      <c r="J15" s="2">
        <v>6500</v>
      </c>
      <c r="K15" s="2">
        <f>INDEX(표3[분류],MATCH(표1[[#This Row],[학교]],표3[학교명],0))</f>
        <v>1</v>
      </c>
      <c r="L15" s="7">
        <f>SUMIF(표6[학생번호],표1[[#This Row],[번호]],표6[결제금액])</f>
        <v>0</v>
      </c>
      <c r="M15" s="2">
        <f>COUNTIF(표6[학생번호],표1[[#This Row],[번호]])</f>
        <v>0</v>
      </c>
      <c r="X15" s="5"/>
      <c r="Y15" s="6"/>
    </row>
    <row r="16" spans="1:25" x14ac:dyDescent="0.3">
      <c r="A16" s="2">
        <v>15</v>
      </c>
      <c r="B16" s="2" t="s">
        <v>89</v>
      </c>
      <c r="C16" s="2" t="s">
        <v>90</v>
      </c>
      <c r="D16" s="2" t="s">
        <v>91</v>
      </c>
      <c r="E16" s="2" t="s">
        <v>92</v>
      </c>
      <c r="F16" s="2" t="s">
        <v>93</v>
      </c>
      <c r="G16" s="2" t="s">
        <v>94</v>
      </c>
      <c r="H16" s="2">
        <v>2</v>
      </c>
      <c r="I16" s="3">
        <v>44752</v>
      </c>
      <c r="J16" s="2">
        <v>4300</v>
      </c>
      <c r="K16" s="2">
        <f>INDEX(표3[분류],MATCH(표1[[#This Row],[학교]],표3[학교명],0))</f>
        <v>1</v>
      </c>
      <c r="L16" s="7">
        <f>SUMIF(표6[학생번호],표1[[#This Row],[번호]],표6[결제금액])</f>
        <v>0</v>
      </c>
      <c r="M16" s="2">
        <f>COUNTIF(표6[학생번호],표1[[#This Row],[번호]])</f>
        <v>1</v>
      </c>
      <c r="X16" s="5"/>
      <c r="Y16" s="6"/>
    </row>
    <row r="17" spans="1:25" x14ac:dyDescent="0.3">
      <c r="A17" s="2">
        <v>16</v>
      </c>
      <c r="B17" s="2" t="s">
        <v>95</v>
      </c>
      <c r="C17" s="2" t="s">
        <v>96</v>
      </c>
      <c r="D17" s="2" t="s">
        <v>97</v>
      </c>
      <c r="E17" s="2" t="s">
        <v>98</v>
      </c>
      <c r="F17" s="2" t="s">
        <v>99</v>
      </c>
      <c r="G17" s="2" t="s">
        <v>49</v>
      </c>
      <c r="H17" s="2">
        <v>3</v>
      </c>
      <c r="I17" s="3">
        <v>44785</v>
      </c>
      <c r="J17" s="2">
        <v>9100</v>
      </c>
      <c r="K17" s="2">
        <f>INDEX(표3[분류],MATCH(표1[[#This Row],[학교]],표3[학교명],0))</f>
        <v>3</v>
      </c>
      <c r="L17" s="7">
        <f>SUMIF(표6[학생번호],표1[[#This Row],[번호]],표6[결제금액])</f>
        <v>15000</v>
      </c>
      <c r="M17" s="2">
        <f>COUNTIF(표6[학생번호],표1[[#This Row],[번호]])</f>
        <v>1</v>
      </c>
      <c r="X17" s="5"/>
      <c r="Y17" s="6"/>
    </row>
    <row r="18" spans="1:25" x14ac:dyDescent="0.3">
      <c r="A18" s="2">
        <v>17</v>
      </c>
      <c r="B18" s="2" t="s">
        <v>100</v>
      </c>
      <c r="C18" s="2" t="s">
        <v>101</v>
      </c>
      <c r="D18" s="2" t="s">
        <v>102</v>
      </c>
      <c r="E18" s="2" t="s">
        <v>103</v>
      </c>
      <c r="F18" s="2" t="s">
        <v>104</v>
      </c>
      <c r="G18" s="2" t="s">
        <v>14</v>
      </c>
      <c r="H18" s="2">
        <v>1</v>
      </c>
      <c r="I18" s="3">
        <v>44665</v>
      </c>
      <c r="J18" s="2">
        <v>1000</v>
      </c>
      <c r="K18" s="2">
        <f>INDEX(표3[분류],MATCH(표1[[#This Row],[학교]],표3[학교명],0))</f>
        <v>3</v>
      </c>
      <c r="L18" s="7">
        <f>SUMIF(표6[학생번호],표1[[#This Row],[번호]],표6[결제금액])</f>
        <v>36000</v>
      </c>
      <c r="M18" s="2">
        <f>COUNTIF(표6[학생번호],표1[[#This Row],[번호]])</f>
        <v>1</v>
      </c>
      <c r="X18" s="5"/>
      <c r="Y18" s="6"/>
    </row>
    <row r="19" spans="1:25" x14ac:dyDescent="0.3">
      <c r="A19" s="2">
        <v>18</v>
      </c>
      <c r="B19" s="2" t="s">
        <v>105</v>
      </c>
      <c r="C19" s="2" t="s">
        <v>106</v>
      </c>
      <c r="D19" s="2" t="s">
        <v>107</v>
      </c>
      <c r="E19" s="2" t="s">
        <v>108</v>
      </c>
      <c r="F19" s="2" t="s">
        <v>109</v>
      </c>
      <c r="G19" s="2" t="s">
        <v>14</v>
      </c>
      <c r="H19" s="2">
        <v>2</v>
      </c>
      <c r="I19" s="3">
        <v>44700</v>
      </c>
      <c r="J19" s="2">
        <v>1800</v>
      </c>
      <c r="K19" s="2">
        <f>INDEX(표3[분류],MATCH(표1[[#This Row],[학교]],표3[학교명],0))</f>
        <v>3</v>
      </c>
      <c r="L19" s="7">
        <f>SUMIF(표6[학생번호],표1[[#This Row],[번호]],표6[결제금액])</f>
        <v>151000</v>
      </c>
      <c r="M19" s="2">
        <f>COUNTIF(표6[학생번호],표1[[#This Row],[번호]])</f>
        <v>4</v>
      </c>
      <c r="X19" s="5"/>
      <c r="Y19" s="6"/>
    </row>
    <row r="20" spans="1:25" x14ac:dyDescent="0.3">
      <c r="A20" s="2">
        <v>19</v>
      </c>
      <c r="B20" s="2" t="s">
        <v>110</v>
      </c>
      <c r="C20" s="2" t="s">
        <v>111</v>
      </c>
      <c r="D20" s="2" t="s">
        <v>112</v>
      </c>
      <c r="E20" s="2" t="s">
        <v>113</v>
      </c>
      <c r="F20" s="2" t="s">
        <v>114</v>
      </c>
      <c r="G20" s="2" t="s">
        <v>115</v>
      </c>
      <c r="H20" s="2">
        <v>3</v>
      </c>
      <c r="I20" s="3">
        <v>44724</v>
      </c>
      <c r="J20" s="2">
        <v>7400</v>
      </c>
      <c r="K20" s="2">
        <f>INDEX(표3[분류],MATCH(표1[[#This Row],[학교]],표3[학교명],0))</f>
        <v>1</v>
      </c>
      <c r="L20" s="7">
        <f>SUMIF(표6[학생번호],표1[[#This Row],[번호]],표6[결제금액])</f>
        <v>717000</v>
      </c>
      <c r="M20" s="2">
        <f>COUNTIF(표6[학생번호],표1[[#This Row],[번호]])</f>
        <v>2</v>
      </c>
    </row>
    <row r="21" spans="1:25" x14ac:dyDescent="0.3">
      <c r="A21" s="2">
        <v>20</v>
      </c>
      <c r="B21" s="2" t="s">
        <v>116</v>
      </c>
      <c r="C21" s="2" t="s">
        <v>117</v>
      </c>
      <c r="D21" s="2" t="s">
        <v>118</v>
      </c>
      <c r="E21" s="2" t="s">
        <v>119</v>
      </c>
      <c r="F21" s="2" t="s">
        <v>120</v>
      </c>
      <c r="G21" s="2" t="s">
        <v>71</v>
      </c>
      <c r="H21" s="2">
        <v>1</v>
      </c>
      <c r="I21" s="3">
        <v>44612</v>
      </c>
      <c r="J21" s="2">
        <v>1200</v>
      </c>
      <c r="K21" s="2">
        <f>INDEX(표3[분류],MATCH(표1[[#This Row],[학교]],표3[학교명],0))</f>
        <v>2</v>
      </c>
      <c r="L21" s="7">
        <f>SUMIF(표6[학생번호],표1[[#This Row],[번호]],표6[결제금액])</f>
        <v>621000</v>
      </c>
      <c r="M21" s="2">
        <f>COUNTIF(표6[학생번호],표1[[#This Row],[번호]])</f>
        <v>5</v>
      </c>
    </row>
    <row r="22" spans="1:25" x14ac:dyDescent="0.3">
      <c r="A22" s="2">
        <v>21</v>
      </c>
      <c r="B22" s="2" t="s">
        <v>121</v>
      </c>
      <c r="C22" s="2" t="s">
        <v>122</v>
      </c>
      <c r="D22" s="2" t="s">
        <v>123</v>
      </c>
      <c r="E22" s="2" t="s">
        <v>124</v>
      </c>
      <c r="F22" s="2" t="s">
        <v>125</v>
      </c>
      <c r="G22" s="2" t="s">
        <v>77</v>
      </c>
      <c r="H22" s="2">
        <v>2</v>
      </c>
      <c r="I22" s="3">
        <v>44670</v>
      </c>
      <c r="J22" s="2">
        <v>1900</v>
      </c>
      <c r="K22" s="2">
        <f>INDEX(표3[분류],MATCH(표1[[#This Row],[학교]],표3[학교명],0))</f>
        <v>1</v>
      </c>
      <c r="L22" s="7">
        <f>SUMIF(표6[학생번호],표1[[#This Row],[번호]],표6[결제금액])</f>
        <v>1565000</v>
      </c>
      <c r="M22" s="2">
        <f>COUNTIF(표6[학생번호],표1[[#This Row],[번호]])</f>
        <v>3</v>
      </c>
    </row>
    <row r="23" spans="1:25" x14ac:dyDescent="0.3">
      <c r="A23" s="2">
        <v>22</v>
      </c>
      <c r="B23" s="2" t="s">
        <v>126</v>
      </c>
      <c r="C23" s="2" t="s">
        <v>127</v>
      </c>
      <c r="D23" s="2" t="s">
        <v>128</v>
      </c>
      <c r="E23" s="2" t="s">
        <v>129</v>
      </c>
      <c r="F23" s="2" t="s">
        <v>130</v>
      </c>
      <c r="G23" s="2" t="s">
        <v>131</v>
      </c>
      <c r="H23" s="2">
        <v>3</v>
      </c>
      <c r="I23" s="3">
        <v>44667</v>
      </c>
      <c r="J23" s="2">
        <v>5700</v>
      </c>
      <c r="K23" s="2">
        <f>INDEX(표3[분류],MATCH(표1[[#This Row],[학교]],표3[학교명],0))</f>
        <v>3</v>
      </c>
      <c r="L23" s="7">
        <f>SUMIF(표6[학생번호],표1[[#This Row],[번호]],표6[결제금액])</f>
        <v>620000</v>
      </c>
      <c r="M23" s="2">
        <f>COUNTIF(표6[학생번호],표1[[#This Row],[번호]])</f>
        <v>1</v>
      </c>
    </row>
    <row r="24" spans="1:25" x14ac:dyDescent="0.3">
      <c r="A24" s="2">
        <v>23</v>
      </c>
      <c r="B24" s="2" t="s">
        <v>132</v>
      </c>
      <c r="C24" s="2" t="s">
        <v>133</v>
      </c>
      <c r="D24" s="2" t="s">
        <v>134</v>
      </c>
      <c r="E24" s="2" t="s">
        <v>135</v>
      </c>
      <c r="F24" s="2" t="s">
        <v>136</v>
      </c>
      <c r="G24" s="2" t="s">
        <v>137</v>
      </c>
      <c r="H24" s="2">
        <v>3</v>
      </c>
      <c r="I24" s="3">
        <v>44635</v>
      </c>
      <c r="J24" s="2">
        <v>6800</v>
      </c>
      <c r="K24" s="2">
        <f>INDEX(표3[분류],MATCH(표1[[#This Row],[학교]],표3[학교명],0))</f>
        <v>2</v>
      </c>
      <c r="L24" s="7">
        <f>SUMIF(표6[학생번호],표1[[#This Row],[번호]],표6[결제금액])</f>
        <v>30000</v>
      </c>
      <c r="M24" s="2">
        <f>COUNTIF(표6[학생번호],표1[[#This Row],[번호]])</f>
        <v>1</v>
      </c>
    </row>
    <row r="25" spans="1:25" x14ac:dyDescent="0.3">
      <c r="A25" s="2">
        <v>24</v>
      </c>
      <c r="B25" s="2" t="s">
        <v>138</v>
      </c>
      <c r="C25" s="2" t="s">
        <v>139</v>
      </c>
      <c r="D25" s="2" t="s">
        <v>140</v>
      </c>
      <c r="E25" s="2" t="s">
        <v>141</v>
      </c>
      <c r="F25" s="2" t="s">
        <v>142</v>
      </c>
      <c r="G25" s="2" t="s">
        <v>94</v>
      </c>
      <c r="H25" s="2">
        <v>2</v>
      </c>
      <c r="I25" s="3">
        <v>44727</v>
      </c>
      <c r="J25" s="2">
        <v>4200</v>
      </c>
      <c r="K25" s="2">
        <f>INDEX(표3[분류],MATCH(표1[[#This Row],[학교]],표3[학교명],0))</f>
        <v>1</v>
      </c>
      <c r="L25" s="7">
        <f>SUMIF(표6[학생번호],표1[[#This Row],[번호]],표6[결제금액])</f>
        <v>1108000</v>
      </c>
      <c r="M25" s="2">
        <f>COUNTIF(표6[학생번호],표1[[#This Row],[번호]])</f>
        <v>3</v>
      </c>
    </row>
    <row r="26" spans="1:25" x14ac:dyDescent="0.3">
      <c r="A26" s="2">
        <v>25</v>
      </c>
      <c r="B26" s="2" t="s">
        <v>143</v>
      </c>
      <c r="C26" s="2" t="s">
        <v>144</v>
      </c>
      <c r="D26" s="2" t="s">
        <v>145</v>
      </c>
      <c r="E26" s="2" t="s">
        <v>146</v>
      </c>
      <c r="F26" s="2" t="s">
        <v>147</v>
      </c>
      <c r="G26" s="2" t="s">
        <v>77</v>
      </c>
      <c r="H26" s="2">
        <v>3</v>
      </c>
      <c r="I26" s="3">
        <v>44610</v>
      </c>
      <c r="J26" s="2">
        <v>1500</v>
      </c>
      <c r="K26" s="2">
        <f>INDEX(표3[분류],MATCH(표1[[#This Row],[학교]],표3[학교명],0))</f>
        <v>1</v>
      </c>
      <c r="L26" s="7">
        <f>SUMIF(표6[학생번호],표1[[#This Row],[번호]],표6[결제금액])</f>
        <v>275000</v>
      </c>
      <c r="M26" s="2">
        <f>COUNTIF(표6[학생번호],표1[[#This Row],[번호]])</f>
        <v>5</v>
      </c>
    </row>
    <row r="27" spans="1:25" x14ac:dyDescent="0.3">
      <c r="A27" s="2">
        <v>26</v>
      </c>
      <c r="B27" s="2" t="s">
        <v>148</v>
      </c>
      <c r="C27" s="2" t="s">
        <v>149</v>
      </c>
      <c r="D27" s="2" t="s">
        <v>150</v>
      </c>
      <c r="E27" s="2" t="s">
        <v>151</v>
      </c>
      <c r="F27" s="2" t="s">
        <v>152</v>
      </c>
      <c r="G27" s="2" t="s">
        <v>14</v>
      </c>
      <c r="H27" s="2">
        <v>2</v>
      </c>
      <c r="I27" s="3">
        <v>44732</v>
      </c>
      <c r="J27" s="2">
        <v>3200</v>
      </c>
      <c r="K27" s="2">
        <f>INDEX(표3[분류],MATCH(표1[[#This Row],[학교]],표3[학교명],0))</f>
        <v>3</v>
      </c>
      <c r="L27" s="7">
        <f>SUMIF(표6[학생번호],표1[[#This Row],[번호]],표6[결제금액])</f>
        <v>1073000</v>
      </c>
      <c r="M27" s="2">
        <f>COUNTIF(표6[학생번호],표1[[#This Row],[번호]])</f>
        <v>3</v>
      </c>
    </row>
    <row r="28" spans="1:25" x14ac:dyDescent="0.3">
      <c r="A28" s="2">
        <v>27</v>
      </c>
      <c r="B28" s="2" t="s">
        <v>153</v>
      </c>
      <c r="C28" s="2" t="s">
        <v>154</v>
      </c>
      <c r="D28" s="2" t="s">
        <v>155</v>
      </c>
      <c r="E28" s="2" t="s">
        <v>156</v>
      </c>
      <c r="F28" s="2" t="s">
        <v>157</v>
      </c>
      <c r="G28" s="2" t="s">
        <v>158</v>
      </c>
      <c r="H28" s="2">
        <v>2</v>
      </c>
      <c r="I28" s="3">
        <v>44785</v>
      </c>
      <c r="J28" s="2">
        <v>6500</v>
      </c>
      <c r="K28" s="2">
        <f>INDEX(표3[분류],MATCH(표1[[#This Row],[학교]],표3[학교명],0))</f>
        <v>2</v>
      </c>
      <c r="L28" s="7">
        <f>SUMIF(표6[학생번호],표1[[#This Row],[번호]],표6[결제금액])</f>
        <v>555000</v>
      </c>
      <c r="M28" s="2">
        <f>COUNTIF(표6[학생번호],표1[[#This Row],[번호]])</f>
        <v>3</v>
      </c>
    </row>
    <row r="29" spans="1:25" x14ac:dyDescent="0.3">
      <c r="A29" s="2">
        <v>28</v>
      </c>
      <c r="B29" s="2" t="s">
        <v>159</v>
      </c>
      <c r="C29" s="2" t="s">
        <v>160</v>
      </c>
      <c r="D29" s="2" t="s">
        <v>161</v>
      </c>
      <c r="E29" s="2" t="s">
        <v>162</v>
      </c>
      <c r="F29" s="2" t="s">
        <v>163</v>
      </c>
      <c r="G29" s="2" t="s">
        <v>131</v>
      </c>
      <c r="H29" s="2">
        <v>1</v>
      </c>
      <c r="I29" s="3">
        <v>44785</v>
      </c>
      <c r="J29" s="2">
        <v>9000</v>
      </c>
      <c r="K29" s="2">
        <f>INDEX(표3[분류],MATCH(표1[[#This Row],[학교]],표3[학교명],0))</f>
        <v>3</v>
      </c>
      <c r="L29" s="7">
        <f>SUMIF(표6[학생번호],표1[[#This Row],[번호]],표6[결제금액])</f>
        <v>81000</v>
      </c>
      <c r="M29" s="2">
        <f>COUNTIF(표6[학생번호],표1[[#This Row],[번호]])</f>
        <v>2</v>
      </c>
    </row>
    <row r="30" spans="1:25" x14ac:dyDescent="0.3">
      <c r="A30" s="2">
        <v>29</v>
      </c>
      <c r="B30" s="2" t="s">
        <v>164</v>
      </c>
      <c r="C30" s="2" t="s">
        <v>165</v>
      </c>
      <c r="D30" s="2" t="s">
        <v>166</v>
      </c>
      <c r="E30" s="2" t="s">
        <v>167</v>
      </c>
      <c r="F30" s="2" t="s">
        <v>168</v>
      </c>
      <c r="G30" s="2" t="s">
        <v>169</v>
      </c>
      <c r="H30" s="2">
        <v>3</v>
      </c>
      <c r="I30" s="3">
        <v>44797</v>
      </c>
      <c r="J30" s="2">
        <v>3000</v>
      </c>
      <c r="K30" s="2">
        <f>INDEX(표3[분류],MATCH(표1[[#This Row],[학교]],표3[학교명],0))</f>
        <v>2</v>
      </c>
      <c r="L30" s="7">
        <f>SUMIF(표6[학생번호],표1[[#This Row],[번호]],표6[결제금액])</f>
        <v>76000</v>
      </c>
      <c r="M30" s="2">
        <f>COUNTIF(표6[학생번호],표1[[#This Row],[번호]])</f>
        <v>1</v>
      </c>
    </row>
    <row r="31" spans="1:25" x14ac:dyDescent="0.3">
      <c r="A31" s="2">
        <v>30</v>
      </c>
      <c r="B31" s="2" t="s">
        <v>170</v>
      </c>
      <c r="C31" s="2" t="s">
        <v>171</v>
      </c>
      <c r="D31" s="2" t="s">
        <v>172</v>
      </c>
      <c r="E31" s="2" t="s">
        <v>173</v>
      </c>
      <c r="F31" s="2" t="s">
        <v>174</v>
      </c>
      <c r="G31" s="2" t="s">
        <v>169</v>
      </c>
      <c r="H31" s="2">
        <v>2</v>
      </c>
      <c r="I31" s="3">
        <v>44802</v>
      </c>
      <c r="J31" s="2">
        <v>7600</v>
      </c>
      <c r="K31" s="2">
        <f>INDEX(표3[분류],MATCH(표1[[#This Row],[학교]],표3[학교명],0))</f>
        <v>2</v>
      </c>
      <c r="L31" s="7">
        <f>SUMIF(표6[학생번호],표1[[#This Row],[번호]],표6[결제금액])</f>
        <v>276000</v>
      </c>
      <c r="M31" s="2">
        <f>COUNTIF(표6[학생번호],표1[[#This Row],[번호]])</f>
        <v>4</v>
      </c>
    </row>
  </sheetData>
  <sortState ref="P2:R31">
    <sortCondition descending="1" ref="R2"/>
    <sortCondition ref="P2"/>
  </sortState>
  <phoneticPr fontId="1" type="noConversion"/>
  <conditionalFormatting sqref="A2:J1048576">
    <cfRule type="expression" dxfId="72" priority="1">
      <formula>$H2 = 3</formula>
    </cfRule>
    <cfRule type="expression" dxfId="71" priority="2">
      <formula>$K2 = 2</formula>
    </cfRule>
    <cfRule type="expression" dxfId="70" priority="3">
      <formula>$K2 = 3</formula>
    </cfRule>
    <cfRule type="expression" dxfId="69" priority="4">
      <formula>$K2 = 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r:id="rId5">
            <anchor moveWithCells="1">
              <from>
                <xdr:col>13</xdr:col>
                <xdr:colOff>0</xdr:colOff>
                <xdr:row>3</xdr:row>
                <xdr:rowOff>123825</xdr:rowOff>
              </from>
              <to>
                <xdr:col>14</xdr:col>
                <xdr:colOff>628650</xdr:colOff>
                <xdr:row>5</xdr:row>
                <xdr:rowOff>47625</xdr:rowOff>
              </to>
            </anchor>
          </controlPr>
        </control>
      </mc:Choice>
      <mc:Fallback>
        <control shapeId="2051" r:id="rId4" name="ComboBox1"/>
      </mc:Fallback>
    </mc:AlternateContent>
    <mc:AlternateContent xmlns:mc="http://schemas.openxmlformats.org/markup-compatibility/2006">
      <mc:Choice Requires="x14">
        <control shapeId="2050" r:id="rId6" name="CommandButton2">
          <controlPr autoLine="0" autoPict="0" r:id="rId7">
            <anchor moveWithCells="1">
              <from>
                <xdr:col>10</xdr:col>
                <xdr:colOff>57150</xdr:colOff>
                <xdr:row>3</xdr:row>
                <xdr:rowOff>114300</xdr:rowOff>
              </from>
              <to>
                <xdr:col>14</xdr:col>
                <xdr:colOff>533400</xdr:colOff>
                <xdr:row>5</xdr:row>
                <xdr:rowOff>66675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49" r:id="rId8" name="CommandButton1">
          <controlPr autoLine="0" autoPict="0" r:id="rId9">
            <anchor moveWithCells="1">
              <from>
                <xdr:col>10</xdr:col>
                <xdr:colOff>57150</xdr:colOff>
                <xdr:row>1</xdr:row>
                <xdr:rowOff>9525</xdr:rowOff>
              </from>
              <to>
                <xdr:col>14</xdr:col>
                <xdr:colOff>533400</xdr:colOff>
                <xdr:row>3</xdr:row>
                <xdr:rowOff>57150</xdr:rowOff>
              </to>
            </anchor>
          </controlPr>
        </control>
      </mc:Choice>
      <mc:Fallback>
        <control shapeId="2049" r:id="rId8" name="CommandButton1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activeCell="E33" sqref="E33"/>
    </sheetView>
  </sheetViews>
  <sheetFormatPr defaultRowHeight="16.5" x14ac:dyDescent="0.3"/>
  <cols>
    <col min="1" max="1" width="5.875" bestFit="1" customWidth="1"/>
    <col min="2" max="2" width="7.125" bestFit="1" customWidth="1"/>
    <col min="3" max="3" width="8.25" bestFit="1" customWidth="1"/>
    <col min="4" max="4" width="9" bestFit="1" customWidth="1"/>
    <col min="5" max="5" width="14.375" bestFit="1" customWidth="1"/>
    <col min="6" max="6" width="23.125" bestFit="1" customWidth="1"/>
    <col min="7" max="7" width="11.125" bestFit="1" customWidth="1"/>
  </cols>
  <sheetData>
    <row r="1" spans="1:7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8</v>
      </c>
    </row>
    <row r="2" spans="1:7" x14ac:dyDescent="0.3">
      <c r="A2" s="2" t="s">
        <v>175</v>
      </c>
      <c r="B2" s="2" t="s">
        <v>176</v>
      </c>
      <c r="C2" s="2" t="s">
        <v>177</v>
      </c>
      <c r="D2" s="2" t="s">
        <v>178</v>
      </c>
      <c r="E2" s="2" t="s">
        <v>179</v>
      </c>
      <c r="F2" s="2" t="s">
        <v>180</v>
      </c>
      <c r="G2" s="3">
        <v>41030</v>
      </c>
    </row>
    <row r="3" spans="1:7" x14ac:dyDescent="0.3">
      <c r="A3" s="2" t="s">
        <v>181</v>
      </c>
      <c r="B3" s="2" t="s">
        <v>182</v>
      </c>
      <c r="C3" s="2" t="s">
        <v>183</v>
      </c>
      <c r="D3" s="2" t="s">
        <v>184</v>
      </c>
      <c r="E3" s="2" t="s">
        <v>185</v>
      </c>
      <c r="F3" s="2" t="s">
        <v>186</v>
      </c>
      <c r="G3" s="3">
        <v>42064</v>
      </c>
    </row>
    <row r="4" spans="1:7" x14ac:dyDescent="0.3">
      <c r="A4" s="2" t="s">
        <v>187</v>
      </c>
      <c r="B4" s="2" t="s">
        <v>188</v>
      </c>
      <c r="C4" s="2" t="s">
        <v>189</v>
      </c>
      <c r="D4" s="2" t="s">
        <v>190</v>
      </c>
      <c r="E4" s="2" t="s">
        <v>191</v>
      </c>
      <c r="F4" s="2" t="s">
        <v>192</v>
      </c>
      <c r="G4" s="3">
        <v>44694</v>
      </c>
    </row>
    <row r="5" spans="1:7" x14ac:dyDescent="0.3">
      <c r="A5" s="2" t="s">
        <v>193</v>
      </c>
      <c r="B5" s="2" t="s">
        <v>194</v>
      </c>
      <c r="C5" s="2" t="s">
        <v>195</v>
      </c>
      <c r="D5" s="2" t="s">
        <v>196</v>
      </c>
      <c r="E5" s="2" t="s">
        <v>197</v>
      </c>
      <c r="F5" s="2" t="s">
        <v>198</v>
      </c>
      <c r="G5" s="3">
        <v>40983</v>
      </c>
    </row>
    <row r="6" spans="1:7" x14ac:dyDescent="0.3">
      <c r="A6" s="2" t="s">
        <v>199</v>
      </c>
      <c r="B6" s="2" t="s">
        <v>200</v>
      </c>
      <c r="C6" s="2" t="s">
        <v>201</v>
      </c>
      <c r="D6" s="2" t="s">
        <v>202</v>
      </c>
      <c r="E6" s="2" t="s">
        <v>203</v>
      </c>
      <c r="F6" s="2" t="s">
        <v>204</v>
      </c>
      <c r="G6" s="3">
        <v>44754</v>
      </c>
    </row>
    <row r="7" spans="1:7" x14ac:dyDescent="0.3">
      <c r="A7" s="2" t="s">
        <v>205</v>
      </c>
      <c r="B7" s="2" t="s">
        <v>206</v>
      </c>
      <c r="C7" s="2" t="s">
        <v>207</v>
      </c>
      <c r="D7" s="2" t="s">
        <v>208</v>
      </c>
      <c r="E7" s="2" t="s">
        <v>209</v>
      </c>
      <c r="F7" s="2" t="s">
        <v>210</v>
      </c>
      <c r="G7" s="3">
        <v>44754</v>
      </c>
    </row>
    <row r="8" spans="1:7" x14ac:dyDescent="0.3">
      <c r="A8" s="2" t="s">
        <v>211</v>
      </c>
      <c r="B8" s="2" t="s">
        <v>212</v>
      </c>
      <c r="C8" s="2" t="s">
        <v>213</v>
      </c>
      <c r="D8" s="2" t="s">
        <v>214</v>
      </c>
      <c r="E8" s="2" t="s">
        <v>215</v>
      </c>
      <c r="F8" s="2" t="s">
        <v>216</v>
      </c>
      <c r="G8" s="3">
        <v>42095</v>
      </c>
    </row>
    <row r="9" spans="1:7" x14ac:dyDescent="0.3">
      <c r="A9" s="2" t="s">
        <v>217</v>
      </c>
      <c r="B9" s="2" t="s">
        <v>218</v>
      </c>
      <c r="C9" s="2" t="s">
        <v>219</v>
      </c>
      <c r="D9" s="2" t="s">
        <v>220</v>
      </c>
      <c r="E9" s="2" t="s">
        <v>221</v>
      </c>
      <c r="F9" s="2" t="s">
        <v>222</v>
      </c>
      <c r="G9" s="3">
        <v>44732</v>
      </c>
    </row>
    <row r="10" spans="1:7" x14ac:dyDescent="0.3">
      <c r="A10" s="2" t="s">
        <v>223</v>
      </c>
      <c r="B10" s="2" t="s">
        <v>224</v>
      </c>
      <c r="C10" s="2" t="s">
        <v>225</v>
      </c>
      <c r="D10" s="2" t="s">
        <v>226</v>
      </c>
      <c r="E10" s="2" t="s">
        <v>227</v>
      </c>
      <c r="F10" s="2" t="s">
        <v>228</v>
      </c>
      <c r="G10" s="3">
        <v>44669</v>
      </c>
    </row>
    <row r="11" spans="1:7" x14ac:dyDescent="0.3">
      <c r="A11" s="2" t="s">
        <v>229</v>
      </c>
      <c r="B11" s="2" t="s">
        <v>230</v>
      </c>
      <c r="C11" s="2" t="s">
        <v>231</v>
      </c>
      <c r="D11" s="2" t="s">
        <v>232</v>
      </c>
      <c r="E11" s="2" t="s">
        <v>233</v>
      </c>
      <c r="F11" s="2" t="s">
        <v>234</v>
      </c>
      <c r="G11" s="3">
        <v>44640</v>
      </c>
    </row>
    <row r="12" spans="1:7" x14ac:dyDescent="0.3">
      <c r="A12" s="2" t="s">
        <v>235</v>
      </c>
      <c r="B12" s="2" t="s">
        <v>236</v>
      </c>
      <c r="C12" s="2" t="s">
        <v>237</v>
      </c>
      <c r="D12" s="2" t="s">
        <v>238</v>
      </c>
      <c r="E12" s="2" t="s">
        <v>239</v>
      </c>
      <c r="F12" s="2" t="s">
        <v>240</v>
      </c>
      <c r="G12" s="3">
        <v>44582</v>
      </c>
    </row>
    <row r="13" spans="1:7" x14ac:dyDescent="0.3">
      <c r="A13" s="2" t="s">
        <v>241</v>
      </c>
      <c r="B13" s="2" t="s">
        <v>242</v>
      </c>
      <c r="C13" s="2" t="s">
        <v>243</v>
      </c>
      <c r="D13" s="2" t="s">
        <v>244</v>
      </c>
      <c r="E13" s="2" t="s">
        <v>245</v>
      </c>
      <c r="F13" s="2" t="s">
        <v>246</v>
      </c>
      <c r="G13" s="3">
        <v>44572</v>
      </c>
    </row>
    <row r="14" spans="1:7" x14ac:dyDescent="0.3">
      <c r="A14" s="2" t="s">
        <v>247</v>
      </c>
      <c r="B14" s="2" t="s">
        <v>248</v>
      </c>
      <c r="C14" s="2" t="s">
        <v>249</v>
      </c>
      <c r="D14" s="2" t="s">
        <v>250</v>
      </c>
      <c r="E14" s="2" t="s">
        <v>251</v>
      </c>
      <c r="F14" s="2" t="s">
        <v>252</v>
      </c>
      <c r="G14" s="3">
        <v>44571</v>
      </c>
    </row>
    <row r="15" spans="1:7" x14ac:dyDescent="0.3">
      <c r="A15" s="2" t="s">
        <v>253</v>
      </c>
      <c r="B15" s="2" t="s">
        <v>254</v>
      </c>
      <c r="C15" s="2" t="s">
        <v>255</v>
      </c>
      <c r="D15" s="2" t="s">
        <v>256</v>
      </c>
      <c r="E15" s="2" t="s">
        <v>257</v>
      </c>
      <c r="F15" s="2" t="s">
        <v>258</v>
      </c>
      <c r="G15" s="3">
        <v>44723</v>
      </c>
    </row>
    <row r="16" spans="1:7" x14ac:dyDescent="0.3">
      <c r="A16" s="2" t="s">
        <v>259</v>
      </c>
      <c r="B16" s="2" t="s">
        <v>260</v>
      </c>
      <c r="C16" s="2" t="s">
        <v>261</v>
      </c>
      <c r="D16" s="2" t="s">
        <v>262</v>
      </c>
      <c r="E16" s="2" t="s">
        <v>263</v>
      </c>
      <c r="F16" s="2" t="s">
        <v>264</v>
      </c>
      <c r="G16" s="3">
        <v>44674</v>
      </c>
    </row>
    <row r="17" spans="1:7" x14ac:dyDescent="0.3">
      <c r="A17" s="2" t="s">
        <v>265</v>
      </c>
      <c r="B17" s="2" t="s">
        <v>266</v>
      </c>
      <c r="C17" s="2" t="s">
        <v>267</v>
      </c>
      <c r="D17" s="2" t="s">
        <v>268</v>
      </c>
      <c r="E17" s="2" t="s">
        <v>269</v>
      </c>
      <c r="F17" s="2" t="s">
        <v>270</v>
      </c>
      <c r="G17" s="3">
        <v>44622</v>
      </c>
    </row>
    <row r="18" spans="1:7" x14ac:dyDescent="0.3">
      <c r="A18" s="2" t="s">
        <v>271</v>
      </c>
      <c r="B18" s="2" t="s">
        <v>272</v>
      </c>
      <c r="C18" s="2" t="s">
        <v>273</v>
      </c>
      <c r="D18" s="2" t="s">
        <v>274</v>
      </c>
      <c r="E18" s="2" t="s">
        <v>275</v>
      </c>
      <c r="F18" s="2" t="s">
        <v>276</v>
      </c>
      <c r="G18" s="3">
        <v>44632</v>
      </c>
    </row>
    <row r="19" spans="1:7" x14ac:dyDescent="0.3">
      <c r="A19" s="2" t="s">
        <v>277</v>
      </c>
      <c r="B19" s="2" t="s">
        <v>278</v>
      </c>
      <c r="C19" s="2" t="s">
        <v>279</v>
      </c>
      <c r="D19" s="2" t="s">
        <v>280</v>
      </c>
      <c r="E19" s="2" t="s">
        <v>281</v>
      </c>
      <c r="F19" s="2" t="s">
        <v>282</v>
      </c>
      <c r="G19" s="3">
        <v>44703</v>
      </c>
    </row>
    <row r="20" spans="1:7" x14ac:dyDescent="0.3">
      <c r="A20" s="2" t="s">
        <v>283</v>
      </c>
      <c r="B20" s="2" t="s">
        <v>284</v>
      </c>
      <c r="C20" s="2" t="s">
        <v>285</v>
      </c>
      <c r="D20" s="2" t="s">
        <v>286</v>
      </c>
      <c r="E20" s="2" t="s">
        <v>287</v>
      </c>
      <c r="F20" s="2" t="s">
        <v>288</v>
      </c>
      <c r="G20" s="3">
        <v>44604</v>
      </c>
    </row>
    <row r="21" spans="1:7" x14ac:dyDescent="0.3">
      <c r="A21" s="2" t="s">
        <v>289</v>
      </c>
      <c r="B21" s="2" t="s">
        <v>290</v>
      </c>
      <c r="C21" s="2" t="s">
        <v>291</v>
      </c>
      <c r="D21" s="2" t="s">
        <v>292</v>
      </c>
      <c r="E21" s="2" t="s">
        <v>293</v>
      </c>
      <c r="F21" s="2" t="s">
        <v>294</v>
      </c>
      <c r="G21" s="3">
        <v>44701</v>
      </c>
    </row>
    <row r="22" spans="1:7" x14ac:dyDescent="0.3">
      <c r="A22" s="2" t="s">
        <v>295</v>
      </c>
      <c r="B22" s="2" t="s">
        <v>296</v>
      </c>
      <c r="C22" s="2" t="s">
        <v>297</v>
      </c>
      <c r="D22" s="2" t="s">
        <v>298</v>
      </c>
      <c r="E22" s="2" t="s">
        <v>299</v>
      </c>
      <c r="F22" s="2" t="s">
        <v>300</v>
      </c>
      <c r="G22" s="3">
        <v>44708</v>
      </c>
    </row>
    <row r="23" spans="1:7" x14ac:dyDescent="0.3">
      <c r="A23" s="2" t="s">
        <v>301</v>
      </c>
      <c r="B23" s="2" t="s">
        <v>302</v>
      </c>
      <c r="C23" s="2" t="s">
        <v>303</v>
      </c>
      <c r="D23" s="2" t="s">
        <v>304</v>
      </c>
      <c r="E23" s="2" t="s">
        <v>305</v>
      </c>
      <c r="F23" s="2" t="s">
        <v>306</v>
      </c>
      <c r="G23" s="3">
        <v>44587</v>
      </c>
    </row>
    <row r="24" spans="1:7" x14ac:dyDescent="0.3">
      <c r="A24" s="2" t="s">
        <v>307</v>
      </c>
      <c r="B24" s="2" t="s">
        <v>308</v>
      </c>
      <c r="C24" s="2" t="s">
        <v>309</v>
      </c>
      <c r="D24" s="2" t="s">
        <v>310</v>
      </c>
      <c r="E24" s="2" t="s">
        <v>311</v>
      </c>
      <c r="F24" s="2" t="s">
        <v>312</v>
      </c>
      <c r="G24" s="3">
        <v>44613</v>
      </c>
    </row>
    <row r="25" spans="1:7" x14ac:dyDescent="0.3">
      <c r="A25" s="2" t="s">
        <v>313</v>
      </c>
      <c r="B25" s="2" t="s">
        <v>314</v>
      </c>
      <c r="C25" s="2" t="s">
        <v>315</v>
      </c>
      <c r="D25" s="2" t="s">
        <v>316</v>
      </c>
      <c r="E25" s="2" t="s">
        <v>317</v>
      </c>
      <c r="F25" s="2" t="s">
        <v>318</v>
      </c>
      <c r="G25" s="3">
        <v>44760</v>
      </c>
    </row>
    <row r="26" spans="1:7" x14ac:dyDescent="0.3">
      <c r="A26" s="2"/>
      <c r="B26" s="2"/>
      <c r="C26" s="2"/>
      <c r="D26" s="2"/>
      <c r="E26" s="2"/>
      <c r="F26" s="2"/>
      <c r="G26" s="3"/>
    </row>
    <row r="27" spans="1:7" x14ac:dyDescent="0.3">
      <c r="A27" s="2"/>
      <c r="B27" s="2"/>
      <c r="C27" s="2"/>
      <c r="D27" s="2"/>
      <c r="E27" s="2"/>
      <c r="F27" s="2"/>
      <c r="G27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autoLine="0" r:id="rId4">
            <anchor moveWithCells="1">
              <from>
                <xdr:col>7</xdr:col>
                <xdr:colOff>57150</xdr:colOff>
                <xdr:row>0</xdr:row>
                <xdr:rowOff>57150</xdr:rowOff>
              </from>
              <to>
                <xdr:col>8</xdr:col>
                <xdr:colOff>590550</xdr:colOff>
                <xdr:row>2</xdr:row>
                <xdr:rowOff>9525</xdr:rowOff>
              </to>
            </anchor>
          </controlPr>
        </control>
      </mc:Choice>
      <mc:Fallback>
        <control shapeId="3074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25"/>
  <sheetViews>
    <sheetView workbookViewId="0">
      <selection activeCell="K22" sqref="K22:K23"/>
    </sheetView>
  </sheetViews>
  <sheetFormatPr defaultRowHeight="16.5" x14ac:dyDescent="0.3"/>
  <cols>
    <col min="1" max="2" width="5.25" style="2" bestFit="1" customWidth="1"/>
    <col min="3" max="3" width="13" style="2" bestFit="1" customWidth="1"/>
  </cols>
  <sheetData>
    <row r="1" spans="1:3" x14ac:dyDescent="0.3">
      <c r="A1" s="2" t="s">
        <v>0</v>
      </c>
      <c r="B1" s="2" t="s">
        <v>319</v>
      </c>
      <c r="C1" s="2" t="s">
        <v>320</v>
      </c>
    </row>
    <row r="2" spans="1:3" x14ac:dyDescent="0.3">
      <c r="A2" s="2">
        <v>1</v>
      </c>
      <c r="B2" s="2">
        <v>3</v>
      </c>
      <c r="C2" s="2" t="s">
        <v>14</v>
      </c>
    </row>
    <row r="3" spans="1:3" x14ac:dyDescent="0.3">
      <c r="A3" s="2">
        <v>2</v>
      </c>
      <c r="B3" s="2">
        <v>1</v>
      </c>
      <c r="C3" s="2" t="s">
        <v>26</v>
      </c>
    </row>
    <row r="4" spans="1:3" x14ac:dyDescent="0.3">
      <c r="A4" s="2">
        <v>3</v>
      </c>
      <c r="B4" s="2">
        <v>1</v>
      </c>
      <c r="C4" s="2" t="s">
        <v>321</v>
      </c>
    </row>
    <row r="5" spans="1:3" x14ac:dyDescent="0.3">
      <c r="A5" s="2">
        <v>4</v>
      </c>
      <c r="B5" s="2">
        <v>3</v>
      </c>
      <c r="C5" s="2" t="s">
        <v>49</v>
      </c>
    </row>
    <row r="6" spans="1:3" x14ac:dyDescent="0.3">
      <c r="A6" s="2">
        <v>5</v>
      </c>
      <c r="B6" s="2">
        <v>2</v>
      </c>
      <c r="C6" s="2" t="s">
        <v>20</v>
      </c>
    </row>
    <row r="7" spans="1:3" x14ac:dyDescent="0.3">
      <c r="A7" s="2">
        <v>6</v>
      </c>
      <c r="B7" s="2">
        <v>1</v>
      </c>
      <c r="C7" s="2" t="s">
        <v>115</v>
      </c>
    </row>
    <row r="8" spans="1:3" x14ac:dyDescent="0.3">
      <c r="A8" s="2">
        <v>7</v>
      </c>
      <c r="B8" s="2">
        <v>1</v>
      </c>
      <c r="C8" s="2" t="s">
        <v>37</v>
      </c>
    </row>
    <row r="9" spans="1:3" x14ac:dyDescent="0.3">
      <c r="A9" s="2">
        <v>8</v>
      </c>
      <c r="B9" s="2">
        <v>3</v>
      </c>
      <c r="C9" s="2" t="s">
        <v>43</v>
      </c>
    </row>
    <row r="10" spans="1:3" x14ac:dyDescent="0.3">
      <c r="A10" s="2">
        <v>9</v>
      </c>
      <c r="B10" s="2">
        <v>1</v>
      </c>
      <c r="C10" s="2" t="s">
        <v>322</v>
      </c>
    </row>
    <row r="11" spans="1:3" x14ac:dyDescent="0.3">
      <c r="A11" s="2">
        <v>10</v>
      </c>
      <c r="B11" s="2">
        <v>2</v>
      </c>
      <c r="C11" s="2" t="s">
        <v>137</v>
      </c>
    </row>
    <row r="12" spans="1:3" x14ac:dyDescent="0.3">
      <c r="A12" s="2">
        <v>11</v>
      </c>
      <c r="B12" s="2">
        <v>2</v>
      </c>
      <c r="C12" s="2" t="s">
        <v>169</v>
      </c>
    </row>
    <row r="13" spans="1:3" x14ac:dyDescent="0.3">
      <c r="A13" s="2">
        <v>12</v>
      </c>
      <c r="B13" s="2">
        <v>3</v>
      </c>
      <c r="C13" s="2" t="s">
        <v>323</v>
      </c>
    </row>
    <row r="14" spans="1:3" x14ac:dyDescent="0.3">
      <c r="A14" s="2">
        <v>13</v>
      </c>
      <c r="B14" s="2">
        <v>1</v>
      </c>
      <c r="C14" s="2" t="s">
        <v>65</v>
      </c>
    </row>
    <row r="15" spans="1:3" x14ac:dyDescent="0.3">
      <c r="A15" s="2">
        <v>14</v>
      </c>
      <c r="B15" s="2">
        <v>1</v>
      </c>
      <c r="C15" s="2" t="s">
        <v>94</v>
      </c>
    </row>
    <row r="16" spans="1:3" x14ac:dyDescent="0.3">
      <c r="A16" s="2">
        <v>15</v>
      </c>
      <c r="B16" s="2">
        <v>1</v>
      </c>
      <c r="C16" s="2" t="s">
        <v>77</v>
      </c>
    </row>
    <row r="17" spans="1:3" x14ac:dyDescent="0.3">
      <c r="A17" s="2">
        <v>16</v>
      </c>
      <c r="B17" s="2">
        <v>2</v>
      </c>
      <c r="C17" s="2" t="s">
        <v>83</v>
      </c>
    </row>
    <row r="18" spans="1:3" x14ac:dyDescent="0.3">
      <c r="A18" s="2">
        <v>17</v>
      </c>
      <c r="B18" s="2">
        <v>2</v>
      </c>
      <c r="C18" s="2" t="s">
        <v>324</v>
      </c>
    </row>
    <row r="19" spans="1:3" x14ac:dyDescent="0.3">
      <c r="A19" s="2">
        <v>18</v>
      </c>
      <c r="B19" s="2">
        <v>3</v>
      </c>
      <c r="C19" s="2" t="s">
        <v>325</v>
      </c>
    </row>
    <row r="20" spans="1:3" x14ac:dyDescent="0.3">
      <c r="A20" s="2">
        <v>19</v>
      </c>
      <c r="B20" s="2">
        <v>1</v>
      </c>
      <c r="C20" s="2" t="s">
        <v>326</v>
      </c>
    </row>
    <row r="21" spans="1:3" x14ac:dyDescent="0.3">
      <c r="A21" s="2">
        <v>20</v>
      </c>
      <c r="B21" s="2">
        <v>3</v>
      </c>
      <c r="C21" s="2" t="s">
        <v>131</v>
      </c>
    </row>
    <row r="22" spans="1:3" x14ac:dyDescent="0.3">
      <c r="A22" s="2">
        <v>21</v>
      </c>
      <c r="B22" s="2">
        <v>2</v>
      </c>
      <c r="C22" s="2" t="s">
        <v>327</v>
      </c>
    </row>
    <row r="23" spans="1:3" x14ac:dyDescent="0.3">
      <c r="A23" s="2">
        <v>22</v>
      </c>
      <c r="B23" s="2">
        <v>2</v>
      </c>
      <c r="C23" s="2" t="s">
        <v>158</v>
      </c>
    </row>
    <row r="24" spans="1:3" x14ac:dyDescent="0.3">
      <c r="A24" s="2">
        <v>23</v>
      </c>
      <c r="B24" s="2">
        <v>2</v>
      </c>
      <c r="C24" s="2" t="s">
        <v>71</v>
      </c>
    </row>
    <row r="25" spans="1:3" x14ac:dyDescent="0.3">
      <c r="A25" s="2">
        <v>24</v>
      </c>
      <c r="B25" s="2">
        <v>1</v>
      </c>
      <c r="C25" s="2" t="s">
        <v>328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autoLine="0" r:id="rId4">
            <anchor moveWithCells="1">
              <from>
                <xdr:col>3</xdr:col>
                <xdr:colOff>76200</xdr:colOff>
                <xdr:row>0</xdr:row>
                <xdr:rowOff>85725</xdr:rowOff>
              </from>
              <to>
                <xdr:col>4</xdr:col>
                <xdr:colOff>609600</xdr:colOff>
                <xdr:row>2</xdr:row>
                <xdr:rowOff>38100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362"/>
  <sheetViews>
    <sheetView topLeftCell="A312" workbookViewId="0">
      <selection activeCell="F319" sqref="F319"/>
    </sheetView>
  </sheetViews>
  <sheetFormatPr defaultRowHeight="16.5" x14ac:dyDescent="0.3"/>
  <cols>
    <col min="1" max="1" width="7.875" style="2" bestFit="1" customWidth="1"/>
    <col min="2" max="2" width="9" style="2" bestFit="1" customWidth="1"/>
    <col min="3" max="3" width="26.75" style="2" bestFit="1" customWidth="1"/>
    <col min="4" max="4" width="46.375" style="2" bestFit="1" customWidth="1"/>
    <col min="5" max="5" width="7.125" style="2" bestFit="1" customWidth="1"/>
    <col min="6" max="6" width="12.375" style="2" bestFit="1" customWidth="1"/>
    <col min="7" max="7" width="0" hidden="1" customWidth="1"/>
  </cols>
  <sheetData>
    <row r="1" spans="1:7" x14ac:dyDescent="0.3">
      <c r="A1" s="2" t="s">
        <v>0</v>
      </c>
      <c r="B1" s="2" t="s">
        <v>329</v>
      </c>
      <c r="C1" s="2" t="s">
        <v>330</v>
      </c>
      <c r="D1" s="2" t="s">
        <v>331</v>
      </c>
      <c r="E1" s="2" t="s">
        <v>332</v>
      </c>
      <c r="F1" s="2" t="s">
        <v>333</v>
      </c>
      <c r="G1" s="2" t="s">
        <v>2572</v>
      </c>
    </row>
    <row r="2" spans="1:7" x14ac:dyDescent="0.3">
      <c r="A2" s="2" t="s">
        <v>334</v>
      </c>
      <c r="B2" s="2" t="s">
        <v>175</v>
      </c>
      <c r="C2" s="2" t="s">
        <v>335</v>
      </c>
      <c r="D2" s="2" t="s">
        <v>336</v>
      </c>
      <c r="E2" s="2">
        <v>60</v>
      </c>
      <c r="F2" s="9">
        <v>60000</v>
      </c>
      <c r="G2" s="2" t="str">
        <f>VLOOKUP(표4[[#This Row],[강사번호]],표2[],2,FALSE)</f>
        <v>윤혜정</v>
      </c>
    </row>
    <row r="3" spans="1:7" x14ac:dyDescent="0.3">
      <c r="A3" s="2" t="s">
        <v>337</v>
      </c>
      <c r="B3" s="2" t="s">
        <v>181</v>
      </c>
      <c r="C3" s="2" t="s">
        <v>338</v>
      </c>
      <c r="D3" s="2" t="s">
        <v>339</v>
      </c>
      <c r="E3" s="2">
        <v>25</v>
      </c>
      <c r="F3" s="9">
        <v>75000</v>
      </c>
      <c r="G3" s="2" t="str">
        <f>VLOOKUP(표4[[#This Row],[강사번호]],표2[],2,FALSE)</f>
        <v>김미성</v>
      </c>
    </row>
    <row r="4" spans="1:7" x14ac:dyDescent="0.3">
      <c r="A4" s="2" t="s">
        <v>340</v>
      </c>
      <c r="B4" s="2" t="s">
        <v>175</v>
      </c>
      <c r="C4" s="2" t="s">
        <v>341</v>
      </c>
      <c r="D4" s="2" t="s">
        <v>342</v>
      </c>
      <c r="E4" s="2">
        <v>10</v>
      </c>
      <c r="F4" s="9">
        <v>62000</v>
      </c>
      <c r="G4" s="2" t="str">
        <f>VLOOKUP(표4[[#This Row],[강사번호]],표2[],2,FALSE)</f>
        <v>윤혜정</v>
      </c>
    </row>
    <row r="5" spans="1:7" x14ac:dyDescent="0.3">
      <c r="A5" s="2" t="s">
        <v>343</v>
      </c>
      <c r="B5" s="2" t="s">
        <v>187</v>
      </c>
      <c r="C5" s="2" t="s">
        <v>344</v>
      </c>
      <c r="D5" s="2" t="s">
        <v>345</v>
      </c>
      <c r="E5" s="2">
        <v>30</v>
      </c>
      <c r="F5" s="9">
        <v>52000</v>
      </c>
      <c r="G5" s="2" t="str">
        <f>VLOOKUP(표4[[#This Row],[강사번호]],표2[],2,FALSE)</f>
        <v>남궁민</v>
      </c>
    </row>
    <row r="6" spans="1:7" x14ac:dyDescent="0.3">
      <c r="A6" s="2" t="s">
        <v>346</v>
      </c>
      <c r="B6" s="2" t="s">
        <v>181</v>
      </c>
      <c r="C6" s="2" t="s">
        <v>341</v>
      </c>
      <c r="D6" s="2" t="s">
        <v>347</v>
      </c>
      <c r="E6" s="2">
        <v>14</v>
      </c>
      <c r="F6" s="9">
        <v>62000</v>
      </c>
      <c r="G6" s="2" t="str">
        <f>VLOOKUP(표4[[#This Row],[강사번호]],표2[],2,FALSE)</f>
        <v>김미성</v>
      </c>
    </row>
    <row r="7" spans="1:7" x14ac:dyDescent="0.3">
      <c r="A7" s="2" t="s">
        <v>348</v>
      </c>
      <c r="B7" s="2" t="s">
        <v>187</v>
      </c>
      <c r="C7" s="2" t="s">
        <v>349</v>
      </c>
      <c r="D7" s="2" t="s">
        <v>350</v>
      </c>
      <c r="E7" s="2">
        <v>365</v>
      </c>
      <c r="F7" s="9">
        <v>80000</v>
      </c>
      <c r="G7" s="2" t="str">
        <f>VLOOKUP(표4[[#This Row],[강사번호]],표2[],2,FALSE)</f>
        <v>남궁민</v>
      </c>
    </row>
    <row r="8" spans="1:7" x14ac:dyDescent="0.3">
      <c r="A8" s="2" t="s">
        <v>351</v>
      </c>
      <c r="B8" s="2" t="s">
        <v>175</v>
      </c>
      <c r="C8" s="2" t="s">
        <v>352</v>
      </c>
      <c r="D8" s="2" t="s">
        <v>353</v>
      </c>
      <c r="E8" s="2">
        <v>1095</v>
      </c>
      <c r="F8" s="9">
        <v>200000</v>
      </c>
      <c r="G8" s="2" t="str">
        <f>VLOOKUP(표4[[#This Row],[강사번호]],표2[],2,FALSE)</f>
        <v>윤혜정</v>
      </c>
    </row>
    <row r="9" spans="1:7" x14ac:dyDescent="0.3">
      <c r="A9" s="2" t="s">
        <v>354</v>
      </c>
      <c r="B9" s="2" t="s">
        <v>187</v>
      </c>
      <c r="C9" s="2" t="s">
        <v>355</v>
      </c>
      <c r="D9" s="2" t="s">
        <v>356</v>
      </c>
      <c r="E9" s="2">
        <v>24</v>
      </c>
      <c r="F9" s="9">
        <v>50000</v>
      </c>
      <c r="G9" s="2" t="str">
        <f>VLOOKUP(표4[[#This Row],[강사번호]],표2[],2,FALSE)</f>
        <v>남궁민</v>
      </c>
    </row>
    <row r="10" spans="1:7" x14ac:dyDescent="0.3">
      <c r="A10" s="2" t="s">
        <v>357</v>
      </c>
      <c r="B10" s="2" t="s">
        <v>181</v>
      </c>
      <c r="C10" s="2" t="s">
        <v>358</v>
      </c>
      <c r="D10" s="2" t="s">
        <v>359</v>
      </c>
      <c r="E10" s="2">
        <v>90</v>
      </c>
      <c r="F10" s="9">
        <v>61000</v>
      </c>
      <c r="G10" s="2" t="str">
        <f>VLOOKUP(표4[[#This Row],[강사번호]],표2[],2,FALSE)</f>
        <v>김미성</v>
      </c>
    </row>
    <row r="11" spans="1:7" x14ac:dyDescent="0.3">
      <c r="A11" s="2" t="s">
        <v>360</v>
      </c>
      <c r="B11" s="2" t="s">
        <v>187</v>
      </c>
      <c r="C11" s="2" t="s">
        <v>361</v>
      </c>
      <c r="D11" s="2" t="s">
        <v>362</v>
      </c>
      <c r="E11" s="2">
        <v>30</v>
      </c>
      <c r="F11" s="9">
        <v>43000</v>
      </c>
      <c r="G11" s="2" t="str">
        <f>VLOOKUP(표4[[#This Row],[강사번호]],표2[],2,FALSE)</f>
        <v>남궁민</v>
      </c>
    </row>
    <row r="12" spans="1:7" x14ac:dyDescent="0.3">
      <c r="A12" s="2" t="s">
        <v>363</v>
      </c>
      <c r="B12" s="2" t="s">
        <v>175</v>
      </c>
      <c r="C12" s="2" t="s">
        <v>364</v>
      </c>
      <c r="D12" s="2" t="s">
        <v>365</v>
      </c>
      <c r="E12" s="2">
        <v>236</v>
      </c>
      <c r="F12" s="9">
        <v>70000</v>
      </c>
      <c r="G12" s="2" t="str">
        <f>VLOOKUP(표4[[#This Row],[강사번호]],표2[],2,FALSE)</f>
        <v>윤혜정</v>
      </c>
    </row>
    <row r="13" spans="1:7" x14ac:dyDescent="0.3">
      <c r="A13" s="2" t="s">
        <v>366</v>
      </c>
      <c r="B13" s="2" t="s">
        <v>175</v>
      </c>
      <c r="C13" s="2" t="s">
        <v>367</v>
      </c>
      <c r="D13" s="2" t="s">
        <v>356</v>
      </c>
      <c r="E13" s="2">
        <v>223</v>
      </c>
      <c r="F13" s="9">
        <v>95000</v>
      </c>
      <c r="G13" s="2" t="str">
        <f>VLOOKUP(표4[[#This Row],[강사번호]],표2[],2,FALSE)</f>
        <v>윤혜정</v>
      </c>
    </row>
    <row r="14" spans="1:7" x14ac:dyDescent="0.3">
      <c r="A14" s="2" t="s">
        <v>368</v>
      </c>
      <c r="B14" s="2" t="s">
        <v>175</v>
      </c>
      <c r="C14" s="2" t="s">
        <v>369</v>
      </c>
      <c r="D14" s="2" t="s">
        <v>370</v>
      </c>
      <c r="E14" s="2">
        <v>32</v>
      </c>
      <c r="F14" s="9">
        <v>105000</v>
      </c>
      <c r="G14" s="2" t="str">
        <f>VLOOKUP(표4[[#This Row],[강사번호]],표2[],2,FALSE)</f>
        <v>윤혜정</v>
      </c>
    </row>
    <row r="15" spans="1:7" x14ac:dyDescent="0.3">
      <c r="A15" s="2" t="s">
        <v>371</v>
      </c>
      <c r="B15" s="2" t="s">
        <v>175</v>
      </c>
      <c r="C15" s="2" t="s">
        <v>372</v>
      </c>
      <c r="D15" s="2" t="s">
        <v>373</v>
      </c>
      <c r="E15" s="2">
        <v>365</v>
      </c>
      <c r="F15" s="9">
        <v>150000</v>
      </c>
      <c r="G15" s="2" t="str">
        <f>VLOOKUP(표4[[#This Row],[강사번호]],표2[],2,FALSE)</f>
        <v>윤혜정</v>
      </c>
    </row>
    <row r="16" spans="1:7" x14ac:dyDescent="0.3">
      <c r="A16" s="2" t="s">
        <v>374</v>
      </c>
      <c r="B16" s="2" t="s">
        <v>175</v>
      </c>
      <c r="C16" s="2" t="s">
        <v>375</v>
      </c>
      <c r="D16" s="2" t="s">
        <v>376</v>
      </c>
      <c r="E16" s="2">
        <v>730</v>
      </c>
      <c r="F16" s="9">
        <v>70000</v>
      </c>
      <c r="G16" s="2" t="str">
        <f>VLOOKUP(표4[[#This Row],[강사번호]],표2[],2,FALSE)</f>
        <v>윤혜정</v>
      </c>
    </row>
    <row r="17" spans="1:7" x14ac:dyDescent="0.3">
      <c r="A17" s="2" t="s">
        <v>377</v>
      </c>
      <c r="B17" s="2" t="s">
        <v>181</v>
      </c>
      <c r="C17" s="2" t="s">
        <v>378</v>
      </c>
      <c r="D17" s="2" t="s">
        <v>379</v>
      </c>
      <c r="E17" s="2">
        <v>120</v>
      </c>
      <c r="F17" s="9">
        <v>65000</v>
      </c>
      <c r="G17" s="2" t="str">
        <f>VLOOKUP(표4[[#This Row],[강사번호]],표2[],2,FALSE)</f>
        <v>김미성</v>
      </c>
    </row>
    <row r="18" spans="1:7" x14ac:dyDescent="0.3">
      <c r="A18" s="2" t="s">
        <v>380</v>
      </c>
      <c r="B18" s="2" t="s">
        <v>175</v>
      </c>
      <c r="C18" s="2" t="s">
        <v>381</v>
      </c>
      <c r="D18" s="2" t="s">
        <v>382</v>
      </c>
      <c r="E18" s="2">
        <v>365</v>
      </c>
      <c r="F18" s="9">
        <v>45000</v>
      </c>
      <c r="G18" s="2" t="str">
        <f>VLOOKUP(표4[[#This Row],[강사번호]],표2[],2,FALSE)</f>
        <v>윤혜정</v>
      </c>
    </row>
    <row r="19" spans="1:7" x14ac:dyDescent="0.3">
      <c r="A19" s="2" t="s">
        <v>383</v>
      </c>
      <c r="B19" s="2" t="s">
        <v>175</v>
      </c>
      <c r="C19" s="2" t="s">
        <v>384</v>
      </c>
      <c r="D19" s="2" t="s">
        <v>385</v>
      </c>
      <c r="E19" s="2">
        <v>1095</v>
      </c>
      <c r="F19" s="9">
        <v>350000</v>
      </c>
      <c r="G19" s="2" t="str">
        <f>VLOOKUP(표4[[#This Row],[강사번호]],표2[],2,FALSE)</f>
        <v>윤혜정</v>
      </c>
    </row>
    <row r="20" spans="1:7" x14ac:dyDescent="0.3">
      <c r="A20" s="2" t="s">
        <v>386</v>
      </c>
      <c r="B20" s="2" t="s">
        <v>181</v>
      </c>
      <c r="C20" s="2" t="s">
        <v>387</v>
      </c>
      <c r="D20" s="2" t="s">
        <v>388</v>
      </c>
      <c r="E20" s="2">
        <v>60</v>
      </c>
      <c r="F20" s="9">
        <v>40000</v>
      </c>
      <c r="G20" s="2" t="str">
        <f>VLOOKUP(표4[[#This Row],[강사번호]],표2[],2,FALSE)</f>
        <v>김미성</v>
      </c>
    </row>
    <row r="21" spans="1:7" x14ac:dyDescent="0.3">
      <c r="A21" s="2" t="s">
        <v>389</v>
      </c>
      <c r="B21" s="2" t="s">
        <v>175</v>
      </c>
      <c r="C21" s="2" t="s">
        <v>390</v>
      </c>
      <c r="D21" s="2" t="s">
        <v>391</v>
      </c>
      <c r="E21" s="2">
        <v>360</v>
      </c>
      <c r="F21" s="9">
        <v>15000</v>
      </c>
      <c r="G21" s="2" t="str">
        <f>VLOOKUP(표4[[#This Row],[강사번호]],표2[],2,FALSE)</f>
        <v>윤혜정</v>
      </c>
    </row>
    <row r="22" spans="1:7" x14ac:dyDescent="0.3">
      <c r="A22" s="2" t="s">
        <v>392</v>
      </c>
      <c r="B22" s="2" t="s">
        <v>187</v>
      </c>
      <c r="C22" s="2" t="s">
        <v>393</v>
      </c>
      <c r="D22" s="2" t="s">
        <v>394</v>
      </c>
      <c r="E22" s="2">
        <v>30</v>
      </c>
      <c r="F22" s="9">
        <v>60000</v>
      </c>
      <c r="G22" s="2" t="str">
        <f>VLOOKUP(표4[[#This Row],[강사번호]],표2[],2,FALSE)</f>
        <v>남궁민</v>
      </c>
    </row>
    <row r="23" spans="1:7" x14ac:dyDescent="0.3">
      <c r="A23" s="2" t="s">
        <v>395</v>
      </c>
      <c r="B23" s="2" t="s">
        <v>187</v>
      </c>
      <c r="C23" s="2" t="s">
        <v>396</v>
      </c>
      <c r="D23" s="2" t="s">
        <v>397</v>
      </c>
      <c r="E23" s="2">
        <v>16</v>
      </c>
      <c r="F23" s="9">
        <v>90000</v>
      </c>
      <c r="G23" s="2" t="str">
        <f>VLOOKUP(표4[[#This Row],[강사번호]],표2[],2,FALSE)</f>
        <v>남궁민</v>
      </c>
    </row>
    <row r="24" spans="1:7" x14ac:dyDescent="0.3">
      <c r="A24" s="2" t="s">
        <v>398</v>
      </c>
      <c r="B24" s="2" t="s">
        <v>187</v>
      </c>
      <c r="C24" s="2" t="s">
        <v>399</v>
      </c>
      <c r="D24" s="2" t="s">
        <v>400</v>
      </c>
      <c r="E24" s="2">
        <v>7</v>
      </c>
      <c r="F24" s="9">
        <v>45000</v>
      </c>
      <c r="G24" s="2" t="str">
        <f>VLOOKUP(표4[[#This Row],[강사번호]],표2[],2,FALSE)</f>
        <v>남궁민</v>
      </c>
    </row>
    <row r="25" spans="1:7" x14ac:dyDescent="0.3">
      <c r="A25" s="2" t="s">
        <v>401</v>
      </c>
      <c r="B25" s="2" t="s">
        <v>187</v>
      </c>
      <c r="C25" s="2" t="s">
        <v>402</v>
      </c>
      <c r="D25" s="2" t="s">
        <v>403</v>
      </c>
      <c r="E25" s="2">
        <v>20</v>
      </c>
      <c r="F25" s="9">
        <v>98000</v>
      </c>
      <c r="G25" s="2" t="str">
        <f>VLOOKUP(표4[[#This Row],[강사번호]],표2[],2,FALSE)</f>
        <v>남궁민</v>
      </c>
    </row>
    <row r="26" spans="1:7" x14ac:dyDescent="0.3">
      <c r="A26" s="2" t="s">
        <v>404</v>
      </c>
      <c r="B26" s="2" t="s">
        <v>175</v>
      </c>
      <c r="C26" s="2" t="s">
        <v>405</v>
      </c>
      <c r="D26" s="2" t="s">
        <v>406</v>
      </c>
      <c r="E26" s="2">
        <v>365</v>
      </c>
      <c r="F26" s="9">
        <v>155000</v>
      </c>
      <c r="G26" s="2" t="str">
        <f>VLOOKUP(표4[[#This Row],[강사번호]],표2[],2,FALSE)</f>
        <v>윤혜정</v>
      </c>
    </row>
    <row r="27" spans="1:7" x14ac:dyDescent="0.3">
      <c r="A27" s="2" t="s">
        <v>407</v>
      </c>
      <c r="B27" s="2" t="s">
        <v>187</v>
      </c>
      <c r="C27" s="2" t="s">
        <v>408</v>
      </c>
      <c r="D27" s="2" t="s">
        <v>409</v>
      </c>
      <c r="E27" s="2">
        <v>10</v>
      </c>
      <c r="F27" s="9">
        <v>75000</v>
      </c>
      <c r="G27" s="2" t="str">
        <f>VLOOKUP(표4[[#This Row],[강사번호]],표2[],2,FALSE)</f>
        <v>남궁민</v>
      </c>
    </row>
    <row r="28" spans="1:7" x14ac:dyDescent="0.3">
      <c r="A28" s="2" t="s">
        <v>410</v>
      </c>
      <c r="B28" s="2" t="s">
        <v>187</v>
      </c>
      <c r="C28" s="2" t="s">
        <v>411</v>
      </c>
      <c r="D28" s="2" t="s">
        <v>412</v>
      </c>
      <c r="E28" s="2">
        <v>15</v>
      </c>
      <c r="F28" s="9">
        <v>63000</v>
      </c>
      <c r="G28" s="2" t="str">
        <f>VLOOKUP(표4[[#This Row],[강사번호]],표2[],2,FALSE)</f>
        <v>남궁민</v>
      </c>
    </row>
    <row r="29" spans="1:7" x14ac:dyDescent="0.3">
      <c r="A29" s="2" t="s">
        <v>413</v>
      </c>
      <c r="B29" s="2" t="s">
        <v>187</v>
      </c>
      <c r="C29" s="2" t="s">
        <v>414</v>
      </c>
      <c r="D29" s="2" t="s">
        <v>415</v>
      </c>
      <c r="E29" s="2">
        <v>17</v>
      </c>
      <c r="F29" s="9">
        <v>15000</v>
      </c>
      <c r="G29" s="2" t="str">
        <f>VLOOKUP(표4[[#This Row],[강사번호]],표2[],2,FALSE)</f>
        <v>남궁민</v>
      </c>
    </row>
    <row r="30" spans="1:7" x14ac:dyDescent="0.3">
      <c r="A30" s="2" t="s">
        <v>416</v>
      </c>
      <c r="B30" s="2" t="s">
        <v>175</v>
      </c>
      <c r="C30" s="2" t="s">
        <v>417</v>
      </c>
      <c r="D30" s="2" t="s">
        <v>418</v>
      </c>
      <c r="E30" s="2">
        <v>365</v>
      </c>
      <c r="F30" s="9">
        <v>89000</v>
      </c>
      <c r="G30" s="2" t="str">
        <f>VLOOKUP(표4[[#This Row],[강사번호]],표2[],2,FALSE)</f>
        <v>윤혜정</v>
      </c>
    </row>
    <row r="31" spans="1:7" x14ac:dyDescent="0.3">
      <c r="A31" s="2" t="s">
        <v>419</v>
      </c>
      <c r="B31" s="2" t="s">
        <v>187</v>
      </c>
      <c r="C31" s="2" t="s">
        <v>420</v>
      </c>
      <c r="D31" s="2" t="s">
        <v>421</v>
      </c>
      <c r="E31" s="2">
        <v>30</v>
      </c>
      <c r="F31" s="9">
        <v>75000</v>
      </c>
      <c r="G31" s="2" t="str">
        <f>VLOOKUP(표4[[#This Row],[강사번호]],표2[],2,FALSE)</f>
        <v>남궁민</v>
      </c>
    </row>
    <row r="32" spans="1:7" x14ac:dyDescent="0.3">
      <c r="A32" s="2" t="s">
        <v>422</v>
      </c>
      <c r="B32" s="2" t="s">
        <v>187</v>
      </c>
      <c r="C32" s="2" t="s">
        <v>423</v>
      </c>
      <c r="D32" s="2" t="s">
        <v>424</v>
      </c>
      <c r="E32" s="2">
        <v>16</v>
      </c>
      <c r="F32" s="9">
        <v>62000</v>
      </c>
      <c r="G32" s="2" t="str">
        <f>VLOOKUP(표4[[#This Row],[강사번호]],표2[],2,FALSE)</f>
        <v>남궁민</v>
      </c>
    </row>
    <row r="33" spans="1:7" x14ac:dyDescent="0.3">
      <c r="A33" s="2" t="s">
        <v>425</v>
      </c>
      <c r="B33" s="2" t="s">
        <v>175</v>
      </c>
      <c r="C33" s="2" t="s">
        <v>426</v>
      </c>
      <c r="D33" s="2" t="s">
        <v>427</v>
      </c>
      <c r="E33" s="2">
        <v>730</v>
      </c>
      <c r="F33" s="9">
        <v>56000</v>
      </c>
      <c r="G33" s="2" t="str">
        <f>VLOOKUP(표4[[#This Row],[강사번호]],표2[],2,FALSE)</f>
        <v>윤혜정</v>
      </c>
    </row>
    <row r="34" spans="1:7" x14ac:dyDescent="0.3">
      <c r="A34" s="2" t="s">
        <v>428</v>
      </c>
      <c r="B34" s="2" t="s">
        <v>181</v>
      </c>
      <c r="C34" s="2" t="s">
        <v>429</v>
      </c>
      <c r="D34" s="2" t="s">
        <v>430</v>
      </c>
      <c r="E34" s="2">
        <v>30</v>
      </c>
      <c r="F34" s="9">
        <v>29000</v>
      </c>
      <c r="G34" s="2" t="str">
        <f>VLOOKUP(표4[[#This Row],[강사번호]],표2[],2,FALSE)</f>
        <v>김미성</v>
      </c>
    </row>
    <row r="35" spans="1:7" x14ac:dyDescent="0.3">
      <c r="A35" s="2" t="s">
        <v>431</v>
      </c>
      <c r="B35" s="2" t="s">
        <v>187</v>
      </c>
      <c r="C35" s="2" t="s">
        <v>432</v>
      </c>
      <c r="D35" s="2" t="s">
        <v>433</v>
      </c>
      <c r="E35" s="2">
        <v>25</v>
      </c>
      <c r="F35" s="9">
        <v>70000</v>
      </c>
      <c r="G35" s="2" t="str">
        <f>VLOOKUP(표4[[#This Row],[강사번호]],표2[],2,FALSE)</f>
        <v>남궁민</v>
      </c>
    </row>
    <row r="36" spans="1:7" x14ac:dyDescent="0.3">
      <c r="A36" s="2" t="s">
        <v>434</v>
      </c>
      <c r="B36" s="2" t="s">
        <v>181</v>
      </c>
      <c r="C36" s="2" t="s">
        <v>435</v>
      </c>
      <c r="D36" s="2" t="s">
        <v>436</v>
      </c>
      <c r="E36" s="2">
        <v>60</v>
      </c>
      <c r="F36" s="9">
        <v>80000</v>
      </c>
      <c r="G36" s="2" t="str">
        <f>VLOOKUP(표4[[#This Row],[강사번호]],표2[],2,FALSE)</f>
        <v>김미성</v>
      </c>
    </row>
    <row r="37" spans="1:7" x14ac:dyDescent="0.3">
      <c r="A37" s="2" t="s">
        <v>437</v>
      </c>
      <c r="B37" s="2" t="s">
        <v>187</v>
      </c>
      <c r="C37" s="2" t="s">
        <v>438</v>
      </c>
      <c r="D37" s="2" t="s">
        <v>439</v>
      </c>
      <c r="E37" s="2">
        <v>15</v>
      </c>
      <c r="F37" s="9">
        <v>98000</v>
      </c>
      <c r="G37" s="2" t="str">
        <f>VLOOKUP(표4[[#This Row],[강사번호]],표2[],2,FALSE)</f>
        <v>남궁민</v>
      </c>
    </row>
    <row r="38" spans="1:7" x14ac:dyDescent="0.3">
      <c r="A38" s="2" t="s">
        <v>440</v>
      </c>
      <c r="B38" s="2" t="s">
        <v>175</v>
      </c>
      <c r="C38" s="2" t="s">
        <v>441</v>
      </c>
      <c r="D38" s="2" t="s">
        <v>442</v>
      </c>
      <c r="E38" s="2">
        <v>365</v>
      </c>
      <c r="F38" s="9">
        <v>360000</v>
      </c>
      <c r="G38" s="2" t="str">
        <f>VLOOKUP(표4[[#This Row],[강사번호]],표2[],2,FALSE)</f>
        <v>윤혜정</v>
      </c>
    </row>
    <row r="39" spans="1:7" x14ac:dyDescent="0.3">
      <c r="A39" s="2" t="s">
        <v>443</v>
      </c>
      <c r="B39" s="2" t="s">
        <v>187</v>
      </c>
      <c r="C39" s="2" t="s">
        <v>444</v>
      </c>
      <c r="D39" s="2" t="s">
        <v>445</v>
      </c>
      <c r="E39" s="2">
        <v>20</v>
      </c>
      <c r="F39" s="9">
        <v>56000</v>
      </c>
      <c r="G39" s="2" t="str">
        <f>VLOOKUP(표4[[#This Row],[강사번호]],표2[],2,FALSE)</f>
        <v>남궁민</v>
      </c>
    </row>
    <row r="40" spans="1:7" x14ac:dyDescent="0.3">
      <c r="A40" s="2" t="s">
        <v>446</v>
      </c>
      <c r="B40" s="2" t="s">
        <v>181</v>
      </c>
      <c r="C40" s="2" t="s">
        <v>447</v>
      </c>
      <c r="D40" s="2" t="s">
        <v>448</v>
      </c>
      <c r="E40" s="2">
        <v>60</v>
      </c>
      <c r="F40" s="9">
        <v>30000</v>
      </c>
      <c r="G40" s="2" t="str">
        <f>VLOOKUP(표4[[#This Row],[강사번호]],표2[],2,FALSE)</f>
        <v>김미성</v>
      </c>
    </row>
    <row r="41" spans="1:7" x14ac:dyDescent="0.3">
      <c r="A41" s="2" t="s">
        <v>449</v>
      </c>
      <c r="B41" s="2" t="s">
        <v>187</v>
      </c>
      <c r="C41" s="2" t="s">
        <v>450</v>
      </c>
      <c r="D41" s="2" t="s">
        <v>451</v>
      </c>
      <c r="E41" s="2">
        <v>25</v>
      </c>
      <c r="F41" s="9">
        <v>41000</v>
      </c>
      <c r="G41" s="2" t="str">
        <f>VLOOKUP(표4[[#This Row],[강사번호]],표2[],2,FALSE)</f>
        <v>남궁민</v>
      </c>
    </row>
    <row r="42" spans="1:7" x14ac:dyDescent="0.3">
      <c r="A42" s="2" t="s">
        <v>452</v>
      </c>
      <c r="B42" s="2" t="s">
        <v>181</v>
      </c>
      <c r="C42" s="2" t="s">
        <v>453</v>
      </c>
      <c r="D42" s="2" t="s">
        <v>454</v>
      </c>
      <c r="E42" s="2">
        <v>90</v>
      </c>
      <c r="F42" s="9">
        <v>23000</v>
      </c>
      <c r="G42" s="2" t="str">
        <f>VLOOKUP(표4[[#This Row],[강사번호]],표2[],2,FALSE)</f>
        <v>김미성</v>
      </c>
    </row>
    <row r="43" spans="1:7" x14ac:dyDescent="0.3">
      <c r="A43" s="2" t="s">
        <v>455</v>
      </c>
      <c r="B43" s="2" t="s">
        <v>181</v>
      </c>
      <c r="C43" s="2" t="s">
        <v>456</v>
      </c>
      <c r="D43" s="2" t="s">
        <v>457</v>
      </c>
      <c r="E43" s="2">
        <v>30</v>
      </c>
      <c r="F43" s="9">
        <v>95000</v>
      </c>
      <c r="G43" s="2" t="str">
        <f>VLOOKUP(표4[[#This Row],[강사번호]],표2[],2,FALSE)</f>
        <v>김미성</v>
      </c>
    </row>
    <row r="44" spans="1:7" x14ac:dyDescent="0.3">
      <c r="A44" s="2" t="s">
        <v>458</v>
      </c>
      <c r="B44" s="2" t="s">
        <v>175</v>
      </c>
      <c r="C44" s="2" t="s">
        <v>459</v>
      </c>
      <c r="D44" s="2" t="s">
        <v>460</v>
      </c>
      <c r="E44" s="2">
        <v>365</v>
      </c>
      <c r="F44" s="9">
        <v>75000</v>
      </c>
      <c r="G44" s="2" t="str">
        <f>VLOOKUP(표4[[#This Row],[강사번호]],표2[],2,FALSE)</f>
        <v>윤혜정</v>
      </c>
    </row>
    <row r="45" spans="1:7" x14ac:dyDescent="0.3">
      <c r="A45" s="2" t="s">
        <v>461</v>
      </c>
      <c r="B45" s="2" t="s">
        <v>187</v>
      </c>
      <c r="C45" s="2" t="s">
        <v>462</v>
      </c>
      <c r="D45" s="2" t="s">
        <v>463</v>
      </c>
      <c r="E45" s="2">
        <v>30</v>
      </c>
      <c r="F45" s="9">
        <v>60000</v>
      </c>
      <c r="G45" s="2" t="str">
        <f>VLOOKUP(표4[[#This Row],[강사번호]],표2[],2,FALSE)</f>
        <v>남궁민</v>
      </c>
    </row>
    <row r="46" spans="1:7" x14ac:dyDescent="0.3">
      <c r="A46" s="2" t="s">
        <v>464</v>
      </c>
      <c r="B46" s="2" t="s">
        <v>187</v>
      </c>
      <c r="C46" s="2" t="s">
        <v>465</v>
      </c>
      <c r="D46" s="2" t="s">
        <v>466</v>
      </c>
      <c r="E46" s="2">
        <v>90</v>
      </c>
      <c r="F46" s="9">
        <v>30000</v>
      </c>
      <c r="G46" s="2" t="str">
        <f>VLOOKUP(표4[[#This Row],[강사번호]],표2[],2,FALSE)</f>
        <v>남궁민</v>
      </c>
    </row>
    <row r="47" spans="1:7" x14ac:dyDescent="0.3">
      <c r="A47" s="2" t="s">
        <v>467</v>
      </c>
      <c r="B47" s="2" t="s">
        <v>187</v>
      </c>
      <c r="C47" s="2" t="s">
        <v>468</v>
      </c>
      <c r="D47" s="2" t="s">
        <v>469</v>
      </c>
      <c r="E47" s="2">
        <v>60</v>
      </c>
      <c r="F47" s="9">
        <v>90000</v>
      </c>
      <c r="G47" s="2" t="str">
        <f>VLOOKUP(표4[[#This Row],[강사번호]],표2[],2,FALSE)</f>
        <v>남궁민</v>
      </c>
    </row>
    <row r="48" spans="1:7" x14ac:dyDescent="0.3">
      <c r="A48" s="2" t="s">
        <v>470</v>
      </c>
      <c r="B48" s="2" t="s">
        <v>175</v>
      </c>
      <c r="C48" s="2" t="s">
        <v>471</v>
      </c>
      <c r="D48" s="2" t="s">
        <v>472</v>
      </c>
      <c r="E48" s="2">
        <v>365</v>
      </c>
      <c r="F48" s="9">
        <v>56000</v>
      </c>
      <c r="G48" s="2" t="str">
        <f>VLOOKUP(표4[[#This Row],[강사번호]],표2[],2,FALSE)</f>
        <v>윤혜정</v>
      </c>
    </row>
    <row r="49" spans="1:7" x14ac:dyDescent="0.3">
      <c r="A49" s="2" t="s">
        <v>473</v>
      </c>
      <c r="B49" s="2" t="s">
        <v>187</v>
      </c>
      <c r="C49" s="2" t="s">
        <v>474</v>
      </c>
      <c r="D49" s="2" t="s">
        <v>475</v>
      </c>
      <c r="E49" s="2">
        <v>12</v>
      </c>
      <c r="F49" s="9">
        <v>15000</v>
      </c>
      <c r="G49" s="2" t="str">
        <f>VLOOKUP(표4[[#This Row],[강사번호]],표2[],2,FALSE)</f>
        <v>남궁민</v>
      </c>
    </row>
    <row r="50" spans="1:7" x14ac:dyDescent="0.3">
      <c r="A50" s="2" t="s">
        <v>476</v>
      </c>
      <c r="B50" s="2" t="s">
        <v>175</v>
      </c>
      <c r="C50" s="2" t="s">
        <v>477</v>
      </c>
      <c r="D50" s="2" t="s">
        <v>478</v>
      </c>
      <c r="E50" s="2">
        <v>730</v>
      </c>
      <c r="F50" s="9">
        <v>50000</v>
      </c>
      <c r="G50" s="2" t="str">
        <f>VLOOKUP(표4[[#This Row],[강사번호]],표2[],2,FALSE)</f>
        <v>윤혜정</v>
      </c>
    </row>
    <row r="51" spans="1:7" x14ac:dyDescent="0.3">
      <c r="A51" s="2" t="s">
        <v>479</v>
      </c>
      <c r="B51" s="2" t="s">
        <v>187</v>
      </c>
      <c r="C51" s="2" t="s">
        <v>480</v>
      </c>
      <c r="D51" s="2" t="s">
        <v>481</v>
      </c>
      <c r="E51" s="2">
        <v>60</v>
      </c>
      <c r="F51" s="9">
        <v>90000</v>
      </c>
      <c r="G51" s="2" t="str">
        <f>VLOOKUP(표4[[#This Row],[강사번호]],표2[],2,FALSE)</f>
        <v>남궁민</v>
      </c>
    </row>
    <row r="52" spans="1:7" x14ac:dyDescent="0.3">
      <c r="A52" s="2" t="s">
        <v>482</v>
      </c>
      <c r="B52" s="2" t="s">
        <v>187</v>
      </c>
      <c r="C52" s="2" t="s">
        <v>483</v>
      </c>
      <c r="D52" s="2" t="s">
        <v>484</v>
      </c>
      <c r="E52" s="2">
        <v>30</v>
      </c>
      <c r="F52" s="9">
        <v>60000</v>
      </c>
      <c r="G52" s="2" t="str">
        <f>VLOOKUP(표4[[#This Row],[강사번호]],표2[],2,FALSE)</f>
        <v>남궁민</v>
      </c>
    </row>
    <row r="53" spans="1:7" x14ac:dyDescent="0.3">
      <c r="A53" s="2" t="s">
        <v>485</v>
      </c>
      <c r="B53" s="2" t="s">
        <v>175</v>
      </c>
      <c r="C53" s="2" t="s">
        <v>486</v>
      </c>
      <c r="D53" s="2" t="s">
        <v>487</v>
      </c>
      <c r="E53" s="2">
        <v>365</v>
      </c>
      <c r="F53" s="9">
        <v>40000</v>
      </c>
      <c r="G53" s="2" t="str">
        <f>VLOOKUP(표4[[#This Row],[강사번호]],표2[],2,FALSE)</f>
        <v>윤혜정</v>
      </c>
    </row>
    <row r="54" spans="1:7" x14ac:dyDescent="0.3">
      <c r="A54" s="2" t="s">
        <v>488</v>
      </c>
      <c r="B54" s="2" t="s">
        <v>181</v>
      </c>
      <c r="C54" s="2" t="s">
        <v>489</v>
      </c>
      <c r="D54" s="2" t="s">
        <v>490</v>
      </c>
      <c r="E54" s="2">
        <v>30</v>
      </c>
      <c r="F54" s="9">
        <v>45000</v>
      </c>
      <c r="G54" s="2" t="str">
        <f>VLOOKUP(표4[[#This Row],[강사번호]],표2[],2,FALSE)</f>
        <v>김미성</v>
      </c>
    </row>
    <row r="55" spans="1:7" x14ac:dyDescent="0.3">
      <c r="A55" s="2" t="s">
        <v>491</v>
      </c>
      <c r="B55" s="2" t="s">
        <v>181</v>
      </c>
      <c r="C55" s="2" t="s">
        <v>492</v>
      </c>
      <c r="D55" s="2" t="s">
        <v>493</v>
      </c>
      <c r="E55" s="2">
        <v>150</v>
      </c>
      <c r="F55" s="9">
        <v>60000</v>
      </c>
      <c r="G55" s="2" t="str">
        <f>VLOOKUP(표4[[#This Row],[강사번호]],표2[],2,FALSE)</f>
        <v>김미성</v>
      </c>
    </row>
    <row r="56" spans="1:7" x14ac:dyDescent="0.3">
      <c r="A56" s="2" t="s">
        <v>494</v>
      </c>
      <c r="B56" s="2" t="s">
        <v>175</v>
      </c>
      <c r="C56" s="2" t="s">
        <v>495</v>
      </c>
      <c r="D56" s="2" t="s">
        <v>496</v>
      </c>
      <c r="E56" s="2">
        <v>730</v>
      </c>
      <c r="F56" s="9">
        <v>80000</v>
      </c>
      <c r="G56" s="2" t="str">
        <f>VLOOKUP(표4[[#This Row],[강사번호]],표2[],2,FALSE)</f>
        <v>윤혜정</v>
      </c>
    </row>
    <row r="57" spans="1:7" x14ac:dyDescent="0.3">
      <c r="A57" s="2" t="s">
        <v>497</v>
      </c>
      <c r="B57" s="2" t="s">
        <v>181</v>
      </c>
      <c r="C57" s="2" t="s">
        <v>498</v>
      </c>
      <c r="D57" s="2" t="s">
        <v>499</v>
      </c>
      <c r="E57" s="2">
        <v>60</v>
      </c>
      <c r="F57" s="9">
        <v>45000</v>
      </c>
      <c r="G57" s="2" t="str">
        <f>VLOOKUP(표4[[#This Row],[강사번호]],표2[],2,FALSE)</f>
        <v>김미성</v>
      </c>
    </row>
    <row r="58" spans="1:7" x14ac:dyDescent="0.3">
      <c r="A58" s="2" t="s">
        <v>500</v>
      </c>
      <c r="B58" s="2" t="s">
        <v>175</v>
      </c>
      <c r="C58" s="2" t="s">
        <v>501</v>
      </c>
      <c r="D58" s="2" t="s">
        <v>502</v>
      </c>
      <c r="E58" s="2">
        <v>365</v>
      </c>
      <c r="F58" s="9">
        <v>60000</v>
      </c>
      <c r="G58" s="2" t="str">
        <f>VLOOKUP(표4[[#This Row],[강사번호]],표2[],2,FALSE)</f>
        <v>윤혜정</v>
      </c>
    </row>
    <row r="59" spans="1:7" x14ac:dyDescent="0.3">
      <c r="A59" s="2" t="s">
        <v>503</v>
      </c>
      <c r="B59" s="2" t="s">
        <v>187</v>
      </c>
      <c r="C59" s="2" t="s">
        <v>504</v>
      </c>
      <c r="D59" s="2" t="s">
        <v>505</v>
      </c>
      <c r="E59" s="2">
        <v>19</v>
      </c>
      <c r="F59" s="9">
        <v>80000</v>
      </c>
      <c r="G59" s="2" t="str">
        <f>VLOOKUP(표4[[#This Row],[강사번호]],표2[],2,FALSE)</f>
        <v>남궁민</v>
      </c>
    </row>
    <row r="60" spans="1:7" x14ac:dyDescent="0.3">
      <c r="A60" s="2" t="s">
        <v>506</v>
      </c>
      <c r="B60" s="2" t="s">
        <v>175</v>
      </c>
      <c r="C60" s="2" t="s">
        <v>507</v>
      </c>
      <c r="D60" s="2" t="s">
        <v>508</v>
      </c>
      <c r="E60" s="2">
        <v>1095</v>
      </c>
      <c r="F60" s="9">
        <v>90000</v>
      </c>
      <c r="G60" s="2" t="str">
        <f>VLOOKUP(표4[[#This Row],[강사번호]],표2[],2,FALSE)</f>
        <v>윤혜정</v>
      </c>
    </row>
    <row r="61" spans="1:7" x14ac:dyDescent="0.3">
      <c r="A61" s="2" t="s">
        <v>509</v>
      </c>
      <c r="B61" s="2" t="s">
        <v>187</v>
      </c>
      <c r="C61" s="2" t="s">
        <v>510</v>
      </c>
      <c r="D61" s="2" t="s">
        <v>511</v>
      </c>
      <c r="E61" s="2">
        <v>30</v>
      </c>
      <c r="F61" s="9">
        <v>60000</v>
      </c>
      <c r="G61" s="2" t="str">
        <f>VLOOKUP(표4[[#This Row],[강사번호]],표2[],2,FALSE)</f>
        <v>남궁민</v>
      </c>
    </row>
    <row r="62" spans="1:7" x14ac:dyDescent="0.3">
      <c r="A62" s="2" t="s">
        <v>512</v>
      </c>
      <c r="B62" s="2" t="s">
        <v>199</v>
      </c>
      <c r="C62" s="2" t="s">
        <v>513</v>
      </c>
      <c r="D62" s="2" t="s">
        <v>514</v>
      </c>
      <c r="E62" s="2">
        <v>90</v>
      </c>
      <c r="F62" s="9">
        <v>35000</v>
      </c>
      <c r="G62" s="2" t="str">
        <f>VLOOKUP(표4[[#This Row],[강사번호]],표2[],2,FALSE)</f>
        <v>남치열</v>
      </c>
    </row>
    <row r="63" spans="1:7" x14ac:dyDescent="0.3">
      <c r="A63" s="2" t="s">
        <v>515</v>
      </c>
      <c r="B63" s="2" t="s">
        <v>205</v>
      </c>
      <c r="C63" s="2" t="s">
        <v>513</v>
      </c>
      <c r="D63" s="2" t="s">
        <v>516</v>
      </c>
      <c r="E63" s="2">
        <v>22</v>
      </c>
      <c r="F63" s="9">
        <v>25000</v>
      </c>
      <c r="G63" s="2" t="str">
        <f>VLOOKUP(표4[[#This Row],[강사번호]],표2[],2,FALSE)</f>
        <v>김민성</v>
      </c>
    </row>
    <row r="64" spans="1:7" x14ac:dyDescent="0.3">
      <c r="A64" s="2" t="s">
        <v>517</v>
      </c>
      <c r="B64" s="2" t="s">
        <v>193</v>
      </c>
      <c r="C64" s="2" t="s">
        <v>518</v>
      </c>
      <c r="D64" s="2" t="s">
        <v>519</v>
      </c>
      <c r="E64" s="2">
        <v>365</v>
      </c>
      <c r="F64" s="9">
        <v>78000</v>
      </c>
      <c r="G64" s="2" t="str">
        <f>VLOOKUP(표4[[#This Row],[강사번호]],표2[],2,FALSE)</f>
        <v>정승제</v>
      </c>
    </row>
    <row r="65" spans="1:7" x14ac:dyDescent="0.3">
      <c r="A65" s="2" t="s">
        <v>520</v>
      </c>
      <c r="B65" s="2" t="s">
        <v>193</v>
      </c>
      <c r="C65" s="2" t="s">
        <v>521</v>
      </c>
      <c r="D65" s="2" t="s">
        <v>522</v>
      </c>
      <c r="E65" s="2">
        <v>365</v>
      </c>
      <c r="F65" s="9">
        <v>90000</v>
      </c>
      <c r="G65" s="2" t="str">
        <f>VLOOKUP(표4[[#This Row],[강사번호]],표2[],2,FALSE)</f>
        <v>정승제</v>
      </c>
    </row>
    <row r="66" spans="1:7" x14ac:dyDescent="0.3">
      <c r="A66" s="2" t="s">
        <v>523</v>
      </c>
      <c r="B66" s="2" t="s">
        <v>193</v>
      </c>
      <c r="C66" s="2" t="s">
        <v>524</v>
      </c>
      <c r="D66" s="2" t="s">
        <v>525</v>
      </c>
      <c r="E66" s="2">
        <v>730</v>
      </c>
      <c r="F66" s="9">
        <v>56000</v>
      </c>
      <c r="G66" s="2" t="str">
        <f>VLOOKUP(표4[[#This Row],[강사번호]],표2[],2,FALSE)</f>
        <v>정승제</v>
      </c>
    </row>
    <row r="67" spans="1:7" x14ac:dyDescent="0.3">
      <c r="A67" s="2" t="s">
        <v>526</v>
      </c>
      <c r="B67" s="2" t="s">
        <v>199</v>
      </c>
      <c r="C67" s="2" t="s">
        <v>527</v>
      </c>
      <c r="D67" s="2" t="s">
        <v>528</v>
      </c>
      <c r="E67" s="2">
        <v>60</v>
      </c>
      <c r="F67" s="9">
        <v>75000</v>
      </c>
      <c r="G67" s="2" t="str">
        <f>VLOOKUP(표4[[#This Row],[강사번호]],표2[],2,FALSE)</f>
        <v>남치열</v>
      </c>
    </row>
    <row r="68" spans="1:7" x14ac:dyDescent="0.3">
      <c r="A68" s="2" t="s">
        <v>529</v>
      </c>
      <c r="B68" s="2" t="s">
        <v>205</v>
      </c>
      <c r="C68" s="2" t="s">
        <v>530</v>
      </c>
      <c r="D68" s="2" t="s">
        <v>531</v>
      </c>
      <c r="E68" s="2">
        <v>20</v>
      </c>
      <c r="F68" s="9">
        <v>48000</v>
      </c>
      <c r="G68" s="2" t="str">
        <f>VLOOKUP(표4[[#This Row],[강사번호]],표2[],2,FALSE)</f>
        <v>김민성</v>
      </c>
    </row>
    <row r="69" spans="1:7" x14ac:dyDescent="0.3">
      <c r="A69" s="2" t="s">
        <v>532</v>
      </c>
      <c r="B69" s="2" t="s">
        <v>205</v>
      </c>
      <c r="C69" s="2" t="s">
        <v>533</v>
      </c>
      <c r="D69" s="2" t="s">
        <v>534</v>
      </c>
      <c r="E69" s="2">
        <v>10</v>
      </c>
      <c r="F69" s="9">
        <v>60000</v>
      </c>
      <c r="G69" s="2" t="str">
        <f>VLOOKUP(표4[[#This Row],[강사번호]],표2[],2,FALSE)</f>
        <v>김민성</v>
      </c>
    </row>
    <row r="70" spans="1:7" x14ac:dyDescent="0.3">
      <c r="A70" s="2" t="s">
        <v>535</v>
      </c>
      <c r="B70" s="2" t="s">
        <v>205</v>
      </c>
      <c r="C70" s="2" t="s">
        <v>536</v>
      </c>
      <c r="D70" s="2" t="s">
        <v>537</v>
      </c>
      <c r="E70" s="2">
        <v>15</v>
      </c>
      <c r="F70" s="9">
        <v>54000</v>
      </c>
      <c r="G70" s="2" t="str">
        <f>VLOOKUP(표4[[#This Row],[강사번호]],표2[],2,FALSE)</f>
        <v>김민성</v>
      </c>
    </row>
    <row r="71" spans="1:7" x14ac:dyDescent="0.3">
      <c r="A71" s="2" t="s">
        <v>538</v>
      </c>
      <c r="B71" s="2" t="s">
        <v>193</v>
      </c>
      <c r="C71" s="2" t="s">
        <v>539</v>
      </c>
      <c r="D71" s="2" t="s">
        <v>540</v>
      </c>
      <c r="E71" s="2">
        <v>365</v>
      </c>
      <c r="F71" s="9">
        <v>35000</v>
      </c>
      <c r="G71" s="2" t="str">
        <f>VLOOKUP(표4[[#This Row],[강사번호]],표2[],2,FALSE)</f>
        <v>정승제</v>
      </c>
    </row>
    <row r="72" spans="1:7" x14ac:dyDescent="0.3">
      <c r="A72" s="2" t="s">
        <v>541</v>
      </c>
      <c r="B72" s="2" t="s">
        <v>193</v>
      </c>
      <c r="C72" s="2" t="s">
        <v>542</v>
      </c>
      <c r="D72" s="2" t="s">
        <v>543</v>
      </c>
      <c r="E72" s="2">
        <v>1095</v>
      </c>
      <c r="F72" s="9">
        <v>95000</v>
      </c>
      <c r="G72" s="2" t="str">
        <f>VLOOKUP(표4[[#This Row],[강사번호]],표2[],2,FALSE)</f>
        <v>정승제</v>
      </c>
    </row>
    <row r="73" spans="1:7" x14ac:dyDescent="0.3">
      <c r="A73" s="2" t="s">
        <v>544</v>
      </c>
      <c r="B73" s="2" t="s">
        <v>205</v>
      </c>
      <c r="C73" s="2" t="s">
        <v>545</v>
      </c>
      <c r="D73" s="2" t="s">
        <v>546</v>
      </c>
      <c r="E73" s="2">
        <v>25</v>
      </c>
      <c r="F73" s="9">
        <v>74000</v>
      </c>
      <c r="G73" s="2" t="str">
        <f>VLOOKUP(표4[[#This Row],[강사번호]],표2[],2,FALSE)</f>
        <v>김민성</v>
      </c>
    </row>
    <row r="74" spans="1:7" x14ac:dyDescent="0.3">
      <c r="A74" s="2" t="s">
        <v>547</v>
      </c>
      <c r="B74" s="2" t="s">
        <v>205</v>
      </c>
      <c r="C74" s="2" t="s">
        <v>548</v>
      </c>
      <c r="D74" s="2" t="s">
        <v>549</v>
      </c>
      <c r="E74" s="2">
        <v>15</v>
      </c>
      <c r="F74" s="9">
        <v>45000</v>
      </c>
      <c r="G74" s="2" t="str">
        <f>VLOOKUP(표4[[#This Row],[강사번호]],표2[],2,FALSE)</f>
        <v>김민성</v>
      </c>
    </row>
    <row r="75" spans="1:7" x14ac:dyDescent="0.3">
      <c r="A75" s="2" t="s">
        <v>550</v>
      </c>
      <c r="B75" s="2" t="s">
        <v>199</v>
      </c>
      <c r="C75" s="2" t="s">
        <v>551</v>
      </c>
      <c r="D75" s="2" t="s">
        <v>552</v>
      </c>
      <c r="E75" s="2">
        <v>60</v>
      </c>
      <c r="F75" s="9">
        <v>98000</v>
      </c>
      <c r="G75" s="2" t="str">
        <f>VLOOKUP(표4[[#This Row],[강사번호]],표2[],2,FALSE)</f>
        <v>남치열</v>
      </c>
    </row>
    <row r="76" spans="1:7" x14ac:dyDescent="0.3">
      <c r="A76" s="2" t="s">
        <v>553</v>
      </c>
      <c r="B76" s="2" t="s">
        <v>205</v>
      </c>
      <c r="C76" s="2" t="s">
        <v>554</v>
      </c>
      <c r="D76" s="2" t="s">
        <v>555</v>
      </c>
      <c r="E76" s="2">
        <v>20</v>
      </c>
      <c r="F76" s="9">
        <v>56000</v>
      </c>
      <c r="G76" s="2" t="str">
        <f>VLOOKUP(표4[[#This Row],[강사번호]],표2[],2,FALSE)</f>
        <v>김민성</v>
      </c>
    </row>
    <row r="77" spans="1:7" x14ac:dyDescent="0.3">
      <c r="A77" s="2" t="s">
        <v>556</v>
      </c>
      <c r="B77" s="2" t="s">
        <v>205</v>
      </c>
      <c r="C77" s="2" t="s">
        <v>557</v>
      </c>
      <c r="D77" s="2" t="s">
        <v>558</v>
      </c>
      <c r="E77" s="2">
        <v>25</v>
      </c>
      <c r="F77" s="9">
        <v>25000</v>
      </c>
      <c r="G77" s="2" t="str">
        <f>VLOOKUP(표4[[#This Row],[강사번호]],표2[],2,FALSE)</f>
        <v>김민성</v>
      </c>
    </row>
    <row r="78" spans="1:7" x14ac:dyDescent="0.3">
      <c r="A78" s="2" t="s">
        <v>559</v>
      </c>
      <c r="B78" s="2" t="s">
        <v>193</v>
      </c>
      <c r="C78" s="2" t="s">
        <v>560</v>
      </c>
      <c r="D78" s="2" t="s">
        <v>561</v>
      </c>
      <c r="E78" s="2">
        <v>365</v>
      </c>
      <c r="F78" s="9">
        <v>36000</v>
      </c>
      <c r="G78" s="2" t="str">
        <f>VLOOKUP(표4[[#This Row],[강사번호]],표2[],2,FALSE)</f>
        <v>정승제</v>
      </c>
    </row>
    <row r="79" spans="1:7" x14ac:dyDescent="0.3">
      <c r="A79" s="2" t="s">
        <v>562</v>
      </c>
      <c r="B79" s="2" t="s">
        <v>205</v>
      </c>
      <c r="C79" s="2" t="s">
        <v>563</v>
      </c>
      <c r="D79" s="2" t="s">
        <v>564</v>
      </c>
      <c r="E79" s="2">
        <v>30</v>
      </c>
      <c r="F79" s="9">
        <v>85000</v>
      </c>
      <c r="G79" s="2" t="str">
        <f>VLOOKUP(표4[[#This Row],[강사번호]],표2[],2,FALSE)</f>
        <v>김민성</v>
      </c>
    </row>
    <row r="80" spans="1:7" x14ac:dyDescent="0.3">
      <c r="A80" s="2" t="s">
        <v>565</v>
      </c>
      <c r="B80" s="2" t="s">
        <v>193</v>
      </c>
      <c r="C80" s="2" t="s">
        <v>566</v>
      </c>
      <c r="D80" s="2" t="s">
        <v>567</v>
      </c>
      <c r="E80" s="2">
        <v>365</v>
      </c>
      <c r="F80" s="9">
        <v>95000</v>
      </c>
      <c r="G80" s="2" t="str">
        <f>VLOOKUP(표4[[#This Row],[강사번호]],표2[],2,FALSE)</f>
        <v>정승제</v>
      </c>
    </row>
    <row r="81" spans="1:7" x14ac:dyDescent="0.3">
      <c r="A81" s="2" t="s">
        <v>568</v>
      </c>
      <c r="B81" s="2" t="s">
        <v>193</v>
      </c>
      <c r="C81" s="2" t="s">
        <v>569</v>
      </c>
      <c r="D81" s="2" t="s">
        <v>570</v>
      </c>
      <c r="E81" s="2">
        <v>365</v>
      </c>
      <c r="F81" s="9">
        <v>56000</v>
      </c>
      <c r="G81" s="2" t="str">
        <f>VLOOKUP(표4[[#This Row],[강사번호]],표2[],2,FALSE)</f>
        <v>정승제</v>
      </c>
    </row>
    <row r="82" spans="1:7" x14ac:dyDescent="0.3">
      <c r="A82" s="2" t="s">
        <v>571</v>
      </c>
      <c r="B82" s="2" t="s">
        <v>193</v>
      </c>
      <c r="C82" s="2" t="s">
        <v>572</v>
      </c>
      <c r="D82" s="2" t="s">
        <v>573</v>
      </c>
      <c r="E82" s="2">
        <v>730</v>
      </c>
      <c r="F82" s="9">
        <v>54000</v>
      </c>
      <c r="G82" s="2" t="str">
        <f>VLOOKUP(표4[[#This Row],[강사번호]],표2[],2,FALSE)</f>
        <v>정승제</v>
      </c>
    </row>
    <row r="83" spans="1:7" x14ac:dyDescent="0.3">
      <c r="A83" s="2" t="s">
        <v>574</v>
      </c>
      <c r="B83" s="2" t="s">
        <v>205</v>
      </c>
      <c r="C83" s="2" t="s">
        <v>575</v>
      </c>
      <c r="D83" s="2" t="s">
        <v>576</v>
      </c>
      <c r="E83" s="2">
        <v>30</v>
      </c>
      <c r="F83" s="9">
        <v>90000</v>
      </c>
      <c r="G83" s="2" t="str">
        <f>VLOOKUP(표4[[#This Row],[강사번호]],표2[],2,FALSE)</f>
        <v>김민성</v>
      </c>
    </row>
    <row r="84" spans="1:7" x14ac:dyDescent="0.3">
      <c r="A84" s="2" t="s">
        <v>577</v>
      </c>
      <c r="B84" s="2" t="s">
        <v>193</v>
      </c>
      <c r="C84" s="2" t="s">
        <v>578</v>
      </c>
      <c r="D84" s="2" t="s">
        <v>579</v>
      </c>
      <c r="E84" s="2">
        <v>365</v>
      </c>
      <c r="F84" s="9">
        <v>100000</v>
      </c>
      <c r="G84" s="2" t="str">
        <f>VLOOKUP(표4[[#This Row],[강사번호]],표2[],2,FALSE)</f>
        <v>정승제</v>
      </c>
    </row>
    <row r="85" spans="1:7" x14ac:dyDescent="0.3">
      <c r="A85" s="2" t="s">
        <v>580</v>
      </c>
      <c r="B85" s="2" t="s">
        <v>193</v>
      </c>
      <c r="C85" s="2" t="s">
        <v>581</v>
      </c>
      <c r="D85" s="2" t="s">
        <v>582</v>
      </c>
      <c r="E85" s="2">
        <v>1095</v>
      </c>
      <c r="F85" s="9">
        <v>560000</v>
      </c>
      <c r="G85" s="2" t="str">
        <f>VLOOKUP(표4[[#This Row],[강사번호]],표2[],2,FALSE)</f>
        <v>정승제</v>
      </c>
    </row>
    <row r="86" spans="1:7" x14ac:dyDescent="0.3">
      <c r="A86" s="2" t="s">
        <v>583</v>
      </c>
      <c r="B86" s="2" t="s">
        <v>193</v>
      </c>
      <c r="C86" s="2" t="s">
        <v>584</v>
      </c>
      <c r="D86" s="2" t="s">
        <v>585</v>
      </c>
      <c r="E86" s="2">
        <v>365</v>
      </c>
      <c r="F86" s="9">
        <v>60000</v>
      </c>
      <c r="G86" s="2" t="str">
        <f>VLOOKUP(표4[[#This Row],[강사번호]],표2[],2,FALSE)</f>
        <v>정승제</v>
      </c>
    </row>
    <row r="87" spans="1:7" x14ac:dyDescent="0.3">
      <c r="A87" s="2" t="s">
        <v>586</v>
      </c>
      <c r="B87" s="2" t="s">
        <v>199</v>
      </c>
      <c r="C87" s="2" t="s">
        <v>587</v>
      </c>
      <c r="D87" s="2" t="s">
        <v>588</v>
      </c>
      <c r="E87" s="2">
        <v>60</v>
      </c>
      <c r="F87" s="9">
        <v>30000</v>
      </c>
      <c r="G87" s="2" t="str">
        <f>VLOOKUP(표4[[#This Row],[강사번호]],표2[],2,FALSE)</f>
        <v>남치열</v>
      </c>
    </row>
    <row r="88" spans="1:7" x14ac:dyDescent="0.3">
      <c r="A88" s="2" t="s">
        <v>589</v>
      </c>
      <c r="B88" s="2" t="s">
        <v>199</v>
      </c>
      <c r="C88" s="2" t="s">
        <v>590</v>
      </c>
      <c r="D88" s="2" t="s">
        <v>591</v>
      </c>
      <c r="E88" s="2">
        <v>90</v>
      </c>
      <c r="F88" s="9">
        <v>60000</v>
      </c>
      <c r="G88" s="2" t="str">
        <f>VLOOKUP(표4[[#This Row],[강사번호]],표2[],2,FALSE)</f>
        <v>남치열</v>
      </c>
    </row>
    <row r="89" spans="1:7" x14ac:dyDescent="0.3">
      <c r="A89" s="2" t="s">
        <v>592</v>
      </c>
      <c r="B89" s="2" t="s">
        <v>199</v>
      </c>
      <c r="C89" s="2" t="s">
        <v>593</v>
      </c>
      <c r="D89" s="2" t="s">
        <v>594</v>
      </c>
      <c r="E89" s="2">
        <v>30</v>
      </c>
      <c r="F89" s="9">
        <v>56000</v>
      </c>
      <c r="G89" s="2" t="str">
        <f>VLOOKUP(표4[[#This Row],[강사번호]],표2[],2,FALSE)</f>
        <v>남치열</v>
      </c>
    </row>
    <row r="90" spans="1:7" x14ac:dyDescent="0.3">
      <c r="A90" s="2" t="s">
        <v>595</v>
      </c>
      <c r="B90" s="2" t="s">
        <v>193</v>
      </c>
      <c r="C90" s="2" t="s">
        <v>596</v>
      </c>
      <c r="D90" s="2" t="s">
        <v>597</v>
      </c>
      <c r="E90" s="2">
        <v>365</v>
      </c>
      <c r="F90" s="9">
        <v>78000</v>
      </c>
      <c r="G90" s="2" t="str">
        <f>VLOOKUP(표4[[#This Row],[강사번호]],표2[],2,FALSE)</f>
        <v>정승제</v>
      </c>
    </row>
    <row r="91" spans="1:7" x14ac:dyDescent="0.3">
      <c r="A91" s="2" t="s">
        <v>598</v>
      </c>
      <c r="B91" s="2" t="s">
        <v>199</v>
      </c>
      <c r="C91" s="2" t="s">
        <v>599</v>
      </c>
      <c r="D91" s="2" t="s">
        <v>600</v>
      </c>
      <c r="E91" s="2">
        <v>60</v>
      </c>
      <c r="F91" s="9">
        <v>95000</v>
      </c>
      <c r="G91" s="2" t="str">
        <f>VLOOKUP(표4[[#This Row],[강사번호]],표2[],2,FALSE)</f>
        <v>남치열</v>
      </c>
    </row>
    <row r="92" spans="1:7" x14ac:dyDescent="0.3">
      <c r="A92" s="2" t="s">
        <v>601</v>
      </c>
      <c r="B92" s="2" t="s">
        <v>205</v>
      </c>
      <c r="C92" s="2" t="s">
        <v>602</v>
      </c>
      <c r="D92" s="2" t="s">
        <v>603</v>
      </c>
      <c r="E92" s="2">
        <v>18</v>
      </c>
      <c r="F92" s="9">
        <v>75000</v>
      </c>
      <c r="G92" s="2" t="str">
        <f>VLOOKUP(표4[[#This Row],[강사번호]],표2[],2,FALSE)</f>
        <v>김민성</v>
      </c>
    </row>
    <row r="93" spans="1:7" x14ac:dyDescent="0.3">
      <c r="A93" s="2" t="s">
        <v>604</v>
      </c>
      <c r="B93" s="2" t="s">
        <v>199</v>
      </c>
      <c r="C93" s="2" t="s">
        <v>605</v>
      </c>
      <c r="D93" s="2" t="s">
        <v>606</v>
      </c>
      <c r="E93" s="2">
        <v>30</v>
      </c>
      <c r="F93" s="9">
        <v>89000</v>
      </c>
      <c r="G93" s="2" t="str">
        <f>VLOOKUP(표4[[#This Row],[강사번호]],표2[],2,FALSE)</f>
        <v>남치열</v>
      </c>
    </row>
    <row r="94" spans="1:7" x14ac:dyDescent="0.3">
      <c r="A94" s="2" t="s">
        <v>607</v>
      </c>
      <c r="B94" s="2" t="s">
        <v>199</v>
      </c>
      <c r="C94" s="2" t="s">
        <v>602</v>
      </c>
      <c r="D94" s="2" t="s">
        <v>608</v>
      </c>
      <c r="E94" s="2">
        <v>60</v>
      </c>
      <c r="F94" s="9">
        <v>78000</v>
      </c>
      <c r="G94" s="2" t="str">
        <f>VLOOKUP(표4[[#This Row],[강사번호]],표2[],2,FALSE)</f>
        <v>남치열</v>
      </c>
    </row>
    <row r="95" spans="1:7" x14ac:dyDescent="0.3">
      <c r="A95" s="2" t="s">
        <v>609</v>
      </c>
      <c r="B95" s="2" t="s">
        <v>199</v>
      </c>
      <c r="C95" s="2" t="s">
        <v>610</v>
      </c>
      <c r="D95" s="2" t="s">
        <v>611</v>
      </c>
      <c r="E95" s="2">
        <v>30</v>
      </c>
      <c r="F95" s="9">
        <v>65000</v>
      </c>
      <c r="G95" s="2" t="str">
        <f>VLOOKUP(표4[[#This Row],[강사번호]],표2[],2,FALSE)</f>
        <v>남치열</v>
      </c>
    </row>
    <row r="96" spans="1:7" x14ac:dyDescent="0.3">
      <c r="A96" s="2" t="s">
        <v>612</v>
      </c>
      <c r="B96" s="2" t="s">
        <v>205</v>
      </c>
      <c r="C96" s="2" t="s">
        <v>613</v>
      </c>
      <c r="D96" s="2" t="s">
        <v>614</v>
      </c>
      <c r="E96" s="2">
        <v>15</v>
      </c>
      <c r="F96" s="9">
        <v>45000</v>
      </c>
      <c r="G96" s="2" t="str">
        <f>VLOOKUP(표4[[#This Row],[강사번호]],표2[],2,FALSE)</f>
        <v>김민성</v>
      </c>
    </row>
    <row r="97" spans="1:7" x14ac:dyDescent="0.3">
      <c r="A97" s="2" t="s">
        <v>615</v>
      </c>
      <c r="B97" s="2" t="s">
        <v>193</v>
      </c>
      <c r="C97" s="2" t="s">
        <v>616</v>
      </c>
      <c r="D97" s="2" t="s">
        <v>617</v>
      </c>
      <c r="E97" s="2">
        <v>365</v>
      </c>
      <c r="F97" s="9">
        <v>23000</v>
      </c>
      <c r="G97" s="2" t="str">
        <f>VLOOKUP(표4[[#This Row],[강사번호]],표2[],2,FALSE)</f>
        <v>정승제</v>
      </c>
    </row>
    <row r="98" spans="1:7" x14ac:dyDescent="0.3">
      <c r="A98" s="2" t="s">
        <v>618</v>
      </c>
      <c r="B98" s="2" t="s">
        <v>193</v>
      </c>
      <c r="C98" s="2" t="s">
        <v>619</v>
      </c>
      <c r="D98" s="2" t="s">
        <v>620</v>
      </c>
      <c r="E98" s="2">
        <v>730</v>
      </c>
      <c r="F98" s="9">
        <v>86000</v>
      </c>
      <c r="G98" s="2" t="str">
        <f>VLOOKUP(표4[[#This Row],[강사번호]],표2[],2,FALSE)</f>
        <v>정승제</v>
      </c>
    </row>
    <row r="99" spans="1:7" x14ac:dyDescent="0.3">
      <c r="A99" s="2" t="s">
        <v>621</v>
      </c>
      <c r="B99" s="2" t="s">
        <v>193</v>
      </c>
      <c r="C99" s="2" t="s">
        <v>622</v>
      </c>
      <c r="D99" s="2" t="s">
        <v>623</v>
      </c>
      <c r="E99" s="2">
        <v>365</v>
      </c>
      <c r="F99" s="9">
        <v>48000</v>
      </c>
      <c r="G99" s="2" t="str">
        <f>VLOOKUP(표4[[#This Row],[강사번호]],표2[],2,FALSE)</f>
        <v>정승제</v>
      </c>
    </row>
    <row r="100" spans="1:7" x14ac:dyDescent="0.3">
      <c r="A100" s="2" t="s">
        <v>624</v>
      </c>
      <c r="B100" s="2" t="s">
        <v>199</v>
      </c>
      <c r="C100" s="2" t="s">
        <v>619</v>
      </c>
      <c r="D100" s="2" t="s">
        <v>625</v>
      </c>
      <c r="E100" s="2">
        <v>60</v>
      </c>
      <c r="F100" s="9">
        <v>45000</v>
      </c>
      <c r="G100" s="2" t="str">
        <f>VLOOKUP(표4[[#This Row],[강사번호]],표2[],2,FALSE)</f>
        <v>남치열</v>
      </c>
    </row>
    <row r="101" spans="1:7" x14ac:dyDescent="0.3">
      <c r="A101" s="2" t="s">
        <v>626</v>
      </c>
      <c r="B101" s="2" t="s">
        <v>193</v>
      </c>
      <c r="C101" s="2" t="s">
        <v>627</v>
      </c>
      <c r="D101" s="2" t="s">
        <v>628</v>
      </c>
      <c r="E101" s="2">
        <v>365</v>
      </c>
      <c r="F101" s="9">
        <v>35000</v>
      </c>
      <c r="G101" s="2" t="str">
        <f>VLOOKUP(표4[[#This Row],[강사번호]],표2[],2,FALSE)</f>
        <v>정승제</v>
      </c>
    </row>
    <row r="102" spans="1:7" x14ac:dyDescent="0.3">
      <c r="A102" s="2" t="s">
        <v>629</v>
      </c>
      <c r="B102" s="2" t="s">
        <v>199</v>
      </c>
      <c r="C102" s="2" t="s">
        <v>630</v>
      </c>
      <c r="D102" s="2" t="s">
        <v>631</v>
      </c>
      <c r="E102" s="2">
        <v>90</v>
      </c>
      <c r="F102" s="9">
        <v>68000</v>
      </c>
      <c r="G102" s="2" t="str">
        <f>VLOOKUP(표4[[#This Row],[강사번호]],표2[],2,FALSE)</f>
        <v>남치열</v>
      </c>
    </row>
    <row r="103" spans="1:7" x14ac:dyDescent="0.3">
      <c r="A103" s="2" t="s">
        <v>632</v>
      </c>
      <c r="B103" s="2" t="s">
        <v>205</v>
      </c>
      <c r="C103" s="2" t="s">
        <v>633</v>
      </c>
      <c r="D103" s="2" t="s">
        <v>634</v>
      </c>
      <c r="E103" s="2">
        <v>20</v>
      </c>
      <c r="F103" s="9">
        <v>36000</v>
      </c>
      <c r="G103" s="2" t="str">
        <f>VLOOKUP(표4[[#This Row],[강사번호]],표2[],2,FALSE)</f>
        <v>김민성</v>
      </c>
    </row>
    <row r="104" spans="1:7" x14ac:dyDescent="0.3">
      <c r="A104" s="2" t="s">
        <v>635</v>
      </c>
      <c r="B104" s="2" t="s">
        <v>193</v>
      </c>
      <c r="C104" s="2" t="s">
        <v>636</v>
      </c>
      <c r="D104" s="2" t="s">
        <v>637</v>
      </c>
      <c r="E104" s="2">
        <v>365</v>
      </c>
      <c r="F104" s="9">
        <v>89000</v>
      </c>
      <c r="G104" s="2" t="str">
        <f>VLOOKUP(표4[[#This Row],[강사번호]],표2[],2,FALSE)</f>
        <v>정승제</v>
      </c>
    </row>
    <row r="105" spans="1:7" x14ac:dyDescent="0.3">
      <c r="A105" s="2" t="s">
        <v>638</v>
      </c>
      <c r="B105" s="2" t="s">
        <v>199</v>
      </c>
      <c r="C105" s="2" t="s">
        <v>639</v>
      </c>
      <c r="D105" s="2" t="s">
        <v>640</v>
      </c>
      <c r="E105" s="2">
        <v>60</v>
      </c>
      <c r="F105" s="9">
        <v>15000</v>
      </c>
      <c r="G105" s="2" t="str">
        <f>VLOOKUP(표4[[#This Row],[강사번호]],표2[],2,FALSE)</f>
        <v>남치열</v>
      </c>
    </row>
    <row r="106" spans="1:7" x14ac:dyDescent="0.3">
      <c r="A106" s="2" t="s">
        <v>641</v>
      </c>
      <c r="B106" s="2" t="s">
        <v>205</v>
      </c>
      <c r="C106" s="2" t="s">
        <v>642</v>
      </c>
      <c r="D106" s="2" t="s">
        <v>643</v>
      </c>
      <c r="E106" s="2">
        <v>12</v>
      </c>
      <c r="F106" s="9">
        <v>75000</v>
      </c>
      <c r="G106" s="2" t="str">
        <f>VLOOKUP(표4[[#This Row],[강사번호]],표2[],2,FALSE)</f>
        <v>김민성</v>
      </c>
    </row>
    <row r="107" spans="1:7" x14ac:dyDescent="0.3">
      <c r="A107" s="2" t="s">
        <v>644</v>
      </c>
      <c r="B107" s="2" t="s">
        <v>211</v>
      </c>
      <c r="C107" s="2" t="s">
        <v>645</v>
      </c>
      <c r="D107" s="2" t="s">
        <v>646</v>
      </c>
      <c r="E107" s="2">
        <v>1095</v>
      </c>
      <c r="F107" s="9">
        <v>95000</v>
      </c>
      <c r="G107" s="2" t="str">
        <f>VLOOKUP(표4[[#This Row],[강사번호]],표2[],2,FALSE)</f>
        <v>주혜연</v>
      </c>
    </row>
    <row r="108" spans="1:7" x14ac:dyDescent="0.3">
      <c r="A108" s="2" t="s">
        <v>647</v>
      </c>
      <c r="B108" s="2" t="s">
        <v>223</v>
      </c>
      <c r="C108" s="2" t="s">
        <v>648</v>
      </c>
      <c r="D108" s="2" t="s">
        <v>649</v>
      </c>
      <c r="E108" s="2">
        <v>15</v>
      </c>
      <c r="F108" s="9">
        <v>65000</v>
      </c>
      <c r="G108" s="2" t="str">
        <f>VLOOKUP(표4[[#This Row],[강사번호]],표2[],2,FALSE)</f>
        <v>조유정</v>
      </c>
    </row>
    <row r="109" spans="1:7" x14ac:dyDescent="0.3">
      <c r="A109" s="2" t="s">
        <v>650</v>
      </c>
      <c r="B109" s="2" t="s">
        <v>223</v>
      </c>
      <c r="C109" s="2" t="s">
        <v>651</v>
      </c>
      <c r="D109" s="2" t="s">
        <v>652</v>
      </c>
      <c r="E109" s="2">
        <v>30</v>
      </c>
      <c r="F109" s="9">
        <v>35000</v>
      </c>
      <c r="G109" s="2" t="str">
        <f>VLOOKUP(표4[[#This Row],[강사번호]],표2[],2,FALSE)</f>
        <v>조유정</v>
      </c>
    </row>
    <row r="110" spans="1:7" x14ac:dyDescent="0.3">
      <c r="A110" s="2" t="s">
        <v>653</v>
      </c>
      <c r="B110" s="2" t="s">
        <v>211</v>
      </c>
      <c r="C110" s="2" t="s">
        <v>654</v>
      </c>
      <c r="D110" s="2" t="s">
        <v>655</v>
      </c>
      <c r="E110" s="2">
        <v>365</v>
      </c>
      <c r="F110" s="9">
        <v>15000</v>
      </c>
      <c r="G110" s="2" t="str">
        <f>VLOOKUP(표4[[#This Row],[강사번호]],표2[],2,FALSE)</f>
        <v>주혜연</v>
      </c>
    </row>
    <row r="111" spans="1:7" x14ac:dyDescent="0.3">
      <c r="A111" s="2" t="s">
        <v>656</v>
      </c>
      <c r="B111" s="2" t="s">
        <v>217</v>
      </c>
      <c r="C111" s="2" t="s">
        <v>657</v>
      </c>
      <c r="D111" s="2" t="s">
        <v>658</v>
      </c>
      <c r="E111" s="2">
        <v>60</v>
      </c>
      <c r="F111" s="9">
        <v>78000</v>
      </c>
      <c r="G111" s="2" t="str">
        <f>VLOOKUP(표4[[#This Row],[강사번호]],표2[],2,FALSE)</f>
        <v>정승익</v>
      </c>
    </row>
    <row r="112" spans="1:7" x14ac:dyDescent="0.3">
      <c r="A112" s="2" t="s">
        <v>659</v>
      </c>
      <c r="B112" s="2" t="s">
        <v>223</v>
      </c>
      <c r="C112" s="2" t="s">
        <v>660</v>
      </c>
      <c r="D112" s="2" t="s">
        <v>661</v>
      </c>
      <c r="E112" s="2">
        <v>14</v>
      </c>
      <c r="F112" s="9">
        <v>95000</v>
      </c>
      <c r="G112" s="2" t="str">
        <f>VLOOKUP(표4[[#This Row],[강사번호]],표2[],2,FALSE)</f>
        <v>조유정</v>
      </c>
    </row>
    <row r="113" spans="1:7" x14ac:dyDescent="0.3">
      <c r="A113" s="2" t="s">
        <v>662</v>
      </c>
      <c r="B113" s="2" t="s">
        <v>217</v>
      </c>
      <c r="C113" s="2" t="s">
        <v>663</v>
      </c>
      <c r="D113" s="2" t="s">
        <v>664</v>
      </c>
      <c r="E113" s="2">
        <v>7</v>
      </c>
      <c r="F113" s="9">
        <v>56000</v>
      </c>
      <c r="G113" s="2" t="str">
        <f>VLOOKUP(표4[[#This Row],[강사번호]],표2[],2,FALSE)</f>
        <v>정승익</v>
      </c>
    </row>
    <row r="114" spans="1:7" x14ac:dyDescent="0.3">
      <c r="A114" s="2" t="s">
        <v>665</v>
      </c>
      <c r="B114" s="2" t="s">
        <v>223</v>
      </c>
      <c r="C114" s="2" t="s">
        <v>666</v>
      </c>
      <c r="D114" s="2" t="s">
        <v>667</v>
      </c>
      <c r="E114" s="2">
        <v>3</v>
      </c>
      <c r="F114" s="9">
        <v>15000</v>
      </c>
      <c r="G114" s="2" t="str">
        <f>VLOOKUP(표4[[#This Row],[강사번호]],표2[],2,FALSE)</f>
        <v>조유정</v>
      </c>
    </row>
    <row r="115" spans="1:7" x14ac:dyDescent="0.3">
      <c r="A115" s="2" t="s">
        <v>668</v>
      </c>
      <c r="B115" s="2" t="s">
        <v>211</v>
      </c>
      <c r="C115" s="2" t="s">
        <v>669</v>
      </c>
      <c r="D115" s="2" t="s">
        <v>670</v>
      </c>
      <c r="E115" s="2">
        <v>20</v>
      </c>
      <c r="F115" s="9">
        <v>78000</v>
      </c>
      <c r="G115" s="2" t="str">
        <f>VLOOKUP(표4[[#This Row],[강사번호]],표2[],2,FALSE)</f>
        <v>주혜연</v>
      </c>
    </row>
    <row r="116" spans="1:7" x14ac:dyDescent="0.3">
      <c r="A116" s="2" t="s">
        <v>671</v>
      </c>
      <c r="B116" s="2" t="s">
        <v>223</v>
      </c>
      <c r="C116" s="2" t="s">
        <v>672</v>
      </c>
      <c r="D116" s="2" t="s">
        <v>673</v>
      </c>
      <c r="E116" s="2">
        <v>25</v>
      </c>
      <c r="F116" s="9">
        <v>89000</v>
      </c>
      <c r="G116" s="2" t="str">
        <f>VLOOKUP(표4[[#This Row],[강사번호]],표2[],2,FALSE)</f>
        <v>조유정</v>
      </c>
    </row>
    <row r="117" spans="1:7" x14ac:dyDescent="0.3">
      <c r="A117" s="2" t="s">
        <v>674</v>
      </c>
      <c r="B117" s="2" t="s">
        <v>217</v>
      </c>
      <c r="C117" s="2" t="s">
        <v>675</v>
      </c>
      <c r="D117" s="2" t="s">
        <v>676</v>
      </c>
      <c r="E117" s="2">
        <v>60</v>
      </c>
      <c r="F117" s="9">
        <v>56000</v>
      </c>
      <c r="G117" s="2" t="str">
        <f>VLOOKUP(표4[[#This Row],[강사번호]],표2[],2,FALSE)</f>
        <v>정승익</v>
      </c>
    </row>
    <row r="118" spans="1:7" x14ac:dyDescent="0.3">
      <c r="A118" s="2" t="s">
        <v>677</v>
      </c>
      <c r="B118" s="2" t="s">
        <v>211</v>
      </c>
      <c r="C118" s="2" t="s">
        <v>678</v>
      </c>
      <c r="D118" s="2" t="s">
        <v>679</v>
      </c>
      <c r="E118" s="2">
        <v>365</v>
      </c>
      <c r="F118" s="9">
        <v>100000</v>
      </c>
      <c r="G118" s="2" t="str">
        <f>VLOOKUP(표4[[#This Row],[강사번호]],표2[],2,FALSE)</f>
        <v>주혜연</v>
      </c>
    </row>
    <row r="119" spans="1:7" x14ac:dyDescent="0.3">
      <c r="A119" s="2" t="s">
        <v>680</v>
      </c>
      <c r="B119" s="2" t="s">
        <v>217</v>
      </c>
      <c r="C119" s="2" t="s">
        <v>681</v>
      </c>
      <c r="D119" s="2" t="s">
        <v>682</v>
      </c>
      <c r="E119" s="2">
        <v>30</v>
      </c>
      <c r="F119" s="9">
        <v>560000</v>
      </c>
      <c r="G119" s="2" t="str">
        <f>VLOOKUP(표4[[#This Row],[강사번호]],표2[],2,FALSE)</f>
        <v>정승익</v>
      </c>
    </row>
    <row r="120" spans="1:7" x14ac:dyDescent="0.3">
      <c r="A120" s="2" t="s">
        <v>683</v>
      </c>
      <c r="B120" s="2" t="s">
        <v>217</v>
      </c>
      <c r="C120" s="2" t="s">
        <v>684</v>
      </c>
      <c r="D120" s="2" t="s">
        <v>685</v>
      </c>
      <c r="E120" s="2">
        <v>90</v>
      </c>
      <c r="F120" s="9">
        <v>78000</v>
      </c>
      <c r="G120" s="2" t="str">
        <f>VLOOKUP(표4[[#This Row],[강사번호]],표2[],2,FALSE)</f>
        <v>정승익</v>
      </c>
    </row>
    <row r="121" spans="1:7" x14ac:dyDescent="0.3">
      <c r="A121" s="2" t="s">
        <v>686</v>
      </c>
      <c r="B121" s="2" t="s">
        <v>211</v>
      </c>
      <c r="C121" s="2" t="s">
        <v>687</v>
      </c>
      <c r="D121" s="2" t="s">
        <v>688</v>
      </c>
      <c r="E121" s="2">
        <v>365</v>
      </c>
      <c r="F121" s="9">
        <v>56000</v>
      </c>
      <c r="G121" s="2" t="str">
        <f>VLOOKUP(표4[[#This Row],[강사번호]],표2[],2,FALSE)</f>
        <v>주혜연</v>
      </c>
    </row>
    <row r="122" spans="1:7" x14ac:dyDescent="0.3">
      <c r="A122" s="2" t="s">
        <v>689</v>
      </c>
      <c r="B122" s="2" t="s">
        <v>223</v>
      </c>
      <c r="C122" s="2" t="s">
        <v>690</v>
      </c>
      <c r="D122" s="2" t="s">
        <v>691</v>
      </c>
      <c r="E122" s="2">
        <v>15</v>
      </c>
      <c r="F122" s="9">
        <v>35000</v>
      </c>
      <c r="G122" s="2" t="str">
        <f>VLOOKUP(표4[[#This Row],[강사번호]],표2[],2,FALSE)</f>
        <v>조유정</v>
      </c>
    </row>
    <row r="123" spans="1:7" x14ac:dyDescent="0.3">
      <c r="A123" s="2" t="s">
        <v>692</v>
      </c>
      <c r="B123" s="2" t="s">
        <v>223</v>
      </c>
      <c r="C123" s="2" t="s">
        <v>693</v>
      </c>
      <c r="D123" s="2" t="s">
        <v>694</v>
      </c>
      <c r="E123" s="2">
        <v>18</v>
      </c>
      <c r="F123" s="9">
        <v>65000</v>
      </c>
      <c r="G123" s="2" t="str">
        <f>VLOOKUP(표4[[#This Row],[강사번호]],표2[],2,FALSE)</f>
        <v>조유정</v>
      </c>
    </row>
    <row r="124" spans="1:7" x14ac:dyDescent="0.3">
      <c r="A124" s="2" t="s">
        <v>695</v>
      </c>
      <c r="B124" s="2" t="s">
        <v>223</v>
      </c>
      <c r="C124" s="2" t="s">
        <v>696</v>
      </c>
      <c r="D124" s="2" t="s">
        <v>697</v>
      </c>
      <c r="E124" s="2">
        <v>10</v>
      </c>
      <c r="F124" s="9">
        <v>45000</v>
      </c>
      <c r="G124" s="2" t="str">
        <f>VLOOKUP(표4[[#This Row],[강사번호]],표2[],2,FALSE)</f>
        <v>조유정</v>
      </c>
    </row>
    <row r="125" spans="1:7" x14ac:dyDescent="0.3">
      <c r="A125" s="2" t="s">
        <v>698</v>
      </c>
      <c r="B125" s="2" t="s">
        <v>211</v>
      </c>
      <c r="C125" s="2" t="s">
        <v>699</v>
      </c>
      <c r="D125" s="2" t="s">
        <v>700</v>
      </c>
      <c r="E125" s="2">
        <v>365</v>
      </c>
      <c r="F125" s="9">
        <v>15000</v>
      </c>
      <c r="G125" s="2" t="str">
        <f>VLOOKUP(표4[[#This Row],[강사번호]],표2[],2,FALSE)</f>
        <v>주혜연</v>
      </c>
    </row>
    <row r="126" spans="1:7" x14ac:dyDescent="0.3">
      <c r="A126" s="2" t="s">
        <v>701</v>
      </c>
      <c r="B126" s="2" t="s">
        <v>217</v>
      </c>
      <c r="C126" s="2" t="s">
        <v>702</v>
      </c>
      <c r="D126" s="2" t="s">
        <v>703</v>
      </c>
      <c r="E126" s="2">
        <v>365</v>
      </c>
      <c r="F126" s="9">
        <v>950000</v>
      </c>
      <c r="G126" s="2" t="str">
        <f>VLOOKUP(표4[[#This Row],[강사번호]],표2[],2,FALSE)</f>
        <v>정승익</v>
      </c>
    </row>
    <row r="127" spans="1:7" x14ac:dyDescent="0.3">
      <c r="A127" s="2" t="s">
        <v>704</v>
      </c>
      <c r="B127" s="2" t="s">
        <v>211</v>
      </c>
      <c r="C127" s="2" t="s">
        <v>705</v>
      </c>
      <c r="D127" s="2" t="s">
        <v>706</v>
      </c>
      <c r="E127" s="2">
        <v>730</v>
      </c>
      <c r="F127" s="9">
        <v>56000</v>
      </c>
      <c r="G127" s="2" t="str">
        <f>VLOOKUP(표4[[#This Row],[강사번호]],표2[],2,FALSE)</f>
        <v>주혜연</v>
      </c>
    </row>
    <row r="128" spans="1:7" x14ac:dyDescent="0.3">
      <c r="A128" s="2" t="s">
        <v>707</v>
      </c>
      <c r="B128" s="2" t="s">
        <v>217</v>
      </c>
      <c r="C128" s="2" t="s">
        <v>708</v>
      </c>
      <c r="D128" s="2" t="s">
        <v>709</v>
      </c>
      <c r="E128" s="2">
        <v>365</v>
      </c>
      <c r="F128" s="9">
        <v>45000</v>
      </c>
      <c r="G128" s="2" t="str">
        <f>VLOOKUP(표4[[#This Row],[강사번호]],표2[],2,FALSE)</f>
        <v>정승익</v>
      </c>
    </row>
    <row r="129" spans="1:7" x14ac:dyDescent="0.3">
      <c r="A129" s="2" t="s">
        <v>710</v>
      </c>
      <c r="B129" s="2" t="s">
        <v>223</v>
      </c>
      <c r="C129" s="2" t="s">
        <v>711</v>
      </c>
      <c r="D129" s="2" t="s">
        <v>712</v>
      </c>
      <c r="E129" s="2">
        <v>25</v>
      </c>
      <c r="F129" s="9">
        <v>23000</v>
      </c>
      <c r="G129" s="2" t="str">
        <f>VLOOKUP(표4[[#This Row],[강사번호]],표2[],2,FALSE)</f>
        <v>조유정</v>
      </c>
    </row>
    <row r="130" spans="1:7" x14ac:dyDescent="0.3">
      <c r="A130" s="2" t="s">
        <v>713</v>
      </c>
      <c r="B130" s="2" t="s">
        <v>217</v>
      </c>
      <c r="C130" s="2" t="s">
        <v>714</v>
      </c>
      <c r="D130" s="2" t="s">
        <v>715</v>
      </c>
      <c r="E130" s="2">
        <v>60</v>
      </c>
      <c r="F130" s="9">
        <v>75000</v>
      </c>
      <c r="G130" s="2" t="str">
        <f>VLOOKUP(표4[[#This Row],[강사번호]],표2[],2,FALSE)</f>
        <v>정승익</v>
      </c>
    </row>
    <row r="131" spans="1:7" x14ac:dyDescent="0.3">
      <c r="A131" s="2" t="s">
        <v>716</v>
      </c>
      <c r="B131" s="2" t="s">
        <v>223</v>
      </c>
      <c r="C131" s="2" t="s">
        <v>717</v>
      </c>
      <c r="D131" s="2" t="s">
        <v>718</v>
      </c>
      <c r="E131" s="2">
        <v>10</v>
      </c>
      <c r="F131" s="9">
        <v>95000</v>
      </c>
      <c r="G131" s="2" t="str">
        <f>VLOOKUP(표4[[#This Row],[강사번호]],표2[],2,FALSE)</f>
        <v>조유정</v>
      </c>
    </row>
    <row r="132" spans="1:7" x14ac:dyDescent="0.3">
      <c r="A132" s="2" t="s">
        <v>719</v>
      </c>
      <c r="B132" s="2" t="s">
        <v>217</v>
      </c>
      <c r="C132" s="2" t="s">
        <v>720</v>
      </c>
      <c r="D132" s="2" t="s">
        <v>721</v>
      </c>
      <c r="E132" s="2">
        <v>30</v>
      </c>
      <c r="F132" s="9">
        <v>66000</v>
      </c>
      <c r="G132" s="2" t="str">
        <f>VLOOKUP(표4[[#This Row],[강사번호]],표2[],2,FALSE)</f>
        <v>정승익</v>
      </c>
    </row>
    <row r="133" spans="1:7" x14ac:dyDescent="0.3">
      <c r="A133" s="2" t="s">
        <v>722</v>
      </c>
      <c r="B133" s="2" t="s">
        <v>217</v>
      </c>
      <c r="C133" s="2" t="s">
        <v>723</v>
      </c>
      <c r="D133" s="2" t="s">
        <v>724</v>
      </c>
      <c r="E133" s="2">
        <v>90</v>
      </c>
      <c r="F133" s="9">
        <v>48000</v>
      </c>
      <c r="G133" s="2" t="str">
        <f>VLOOKUP(표4[[#This Row],[강사번호]],표2[],2,FALSE)</f>
        <v>정승익</v>
      </c>
    </row>
    <row r="134" spans="1:7" x14ac:dyDescent="0.3">
      <c r="A134" s="2" t="s">
        <v>725</v>
      </c>
      <c r="B134" s="2" t="s">
        <v>223</v>
      </c>
      <c r="C134" s="2" t="s">
        <v>726</v>
      </c>
      <c r="D134" s="2" t="s">
        <v>727</v>
      </c>
      <c r="E134" s="2">
        <v>12</v>
      </c>
      <c r="F134" s="9">
        <v>75000</v>
      </c>
      <c r="G134" s="2" t="str">
        <f>VLOOKUP(표4[[#This Row],[강사번호]],표2[],2,FALSE)</f>
        <v>조유정</v>
      </c>
    </row>
    <row r="135" spans="1:7" x14ac:dyDescent="0.3">
      <c r="A135" s="2" t="s">
        <v>728</v>
      </c>
      <c r="B135" s="2" t="s">
        <v>223</v>
      </c>
      <c r="C135" s="2" t="s">
        <v>729</v>
      </c>
      <c r="D135" s="2" t="s">
        <v>730</v>
      </c>
      <c r="E135" s="2">
        <v>15</v>
      </c>
      <c r="F135" s="9">
        <v>25000</v>
      </c>
      <c r="G135" s="2" t="str">
        <f>VLOOKUP(표4[[#This Row],[강사번호]],표2[],2,FALSE)</f>
        <v>조유정</v>
      </c>
    </row>
    <row r="136" spans="1:7" x14ac:dyDescent="0.3">
      <c r="A136" s="2" t="s">
        <v>731</v>
      </c>
      <c r="B136" s="2" t="s">
        <v>217</v>
      </c>
      <c r="C136" s="2" t="s">
        <v>723</v>
      </c>
      <c r="D136" s="2" t="s">
        <v>732</v>
      </c>
      <c r="E136" s="2">
        <v>17</v>
      </c>
      <c r="F136" s="9">
        <v>36000</v>
      </c>
      <c r="G136" s="2" t="str">
        <f>VLOOKUP(표4[[#This Row],[강사번호]],표2[],2,FALSE)</f>
        <v>정승익</v>
      </c>
    </row>
    <row r="137" spans="1:7" x14ac:dyDescent="0.3">
      <c r="A137" s="2" t="s">
        <v>733</v>
      </c>
      <c r="B137" s="2" t="s">
        <v>211</v>
      </c>
      <c r="C137" s="2" t="s">
        <v>734</v>
      </c>
      <c r="D137" s="2" t="s">
        <v>735</v>
      </c>
      <c r="E137" s="2">
        <v>30</v>
      </c>
      <c r="F137" s="9">
        <v>69000</v>
      </c>
      <c r="G137" s="2" t="str">
        <f>VLOOKUP(표4[[#This Row],[강사번호]],표2[],2,FALSE)</f>
        <v>주혜연</v>
      </c>
    </row>
    <row r="138" spans="1:7" x14ac:dyDescent="0.3">
      <c r="A138" s="2" t="s">
        <v>736</v>
      </c>
      <c r="B138" s="2" t="s">
        <v>217</v>
      </c>
      <c r="C138" s="2" t="s">
        <v>737</v>
      </c>
      <c r="D138" s="2" t="s">
        <v>738</v>
      </c>
      <c r="E138" s="2">
        <v>60</v>
      </c>
      <c r="F138" s="9">
        <v>45000</v>
      </c>
      <c r="G138" s="2" t="str">
        <f>VLOOKUP(표4[[#This Row],[강사번호]],표2[],2,FALSE)</f>
        <v>정승익</v>
      </c>
    </row>
    <row r="139" spans="1:7" x14ac:dyDescent="0.3">
      <c r="A139" s="2" t="s">
        <v>739</v>
      </c>
      <c r="B139" s="2" t="s">
        <v>223</v>
      </c>
      <c r="C139" s="2" t="s">
        <v>740</v>
      </c>
      <c r="D139" s="2" t="s">
        <v>741</v>
      </c>
      <c r="E139" s="2">
        <v>30</v>
      </c>
      <c r="F139" s="9">
        <v>15000</v>
      </c>
      <c r="G139" s="2" t="str">
        <f>VLOOKUP(표4[[#This Row],[강사번호]],표2[],2,FALSE)</f>
        <v>조유정</v>
      </c>
    </row>
    <row r="140" spans="1:7" x14ac:dyDescent="0.3">
      <c r="A140" s="2" t="s">
        <v>742</v>
      </c>
      <c r="B140" s="2" t="s">
        <v>217</v>
      </c>
      <c r="C140" s="2" t="s">
        <v>743</v>
      </c>
      <c r="D140" s="2" t="s">
        <v>744</v>
      </c>
      <c r="E140" s="2">
        <v>90</v>
      </c>
      <c r="F140" s="9">
        <v>230000</v>
      </c>
      <c r="G140" s="2" t="str">
        <f>VLOOKUP(표4[[#This Row],[강사번호]],표2[],2,FALSE)</f>
        <v>정승익</v>
      </c>
    </row>
    <row r="141" spans="1:7" x14ac:dyDescent="0.3">
      <c r="A141" s="2" t="s">
        <v>745</v>
      </c>
      <c r="B141" s="2" t="s">
        <v>211</v>
      </c>
      <c r="C141" s="2" t="s">
        <v>746</v>
      </c>
      <c r="D141" s="2" t="s">
        <v>747</v>
      </c>
      <c r="E141" s="2">
        <v>365</v>
      </c>
      <c r="F141" s="9">
        <v>45000</v>
      </c>
      <c r="G141" s="2" t="str">
        <f>VLOOKUP(표4[[#This Row],[강사번호]],표2[],2,FALSE)</f>
        <v>주혜연</v>
      </c>
    </row>
    <row r="142" spans="1:7" x14ac:dyDescent="0.3">
      <c r="A142" s="2" t="s">
        <v>748</v>
      </c>
      <c r="B142" s="2" t="s">
        <v>223</v>
      </c>
      <c r="C142" s="2" t="s">
        <v>749</v>
      </c>
      <c r="D142" s="2" t="s">
        <v>750</v>
      </c>
      <c r="E142" s="2">
        <v>20</v>
      </c>
      <c r="F142" s="9">
        <v>89000</v>
      </c>
      <c r="G142" s="2" t="str">
        <f>VLOOKUP(표4[[#This Row],[강사번호]],표2[],2,FALSE)</f>
        <v>조유정</v>
      </c>
    </row>
    <row r="143" spans="1:7" x14ac:dyDescent="0.3">
      <c r="A143" s="2" t="s">
        <v>751</v>
      </c>
      <c r="B143" s="2" t="s">
        <v>223</v>
      </c>
      <c r="C143" s="2" t="s">
        <v>752</v>
      </c>
      <c r="D143" s="2" t="s">
        <v>753</v>
      </c>
      <c r="E143" s="2">
        <v>15</v>
      </c>
      <c r="F143" s="9">
        <v>73000</v>
      </c>
      <c r="G143" s="2" t="str">
        <f>VLOOKUP(표4[[#This Row],[강사번호]],표2[],2,FALSE)</f>
        <v>조유정</v>
      </c>
    </row>
    <row r="144" spans="1:7" x14ac:dyDescent="0.3">
      <c r="A144" s="2" t="s">
        <v>754</v>
      </c>
      <c r="B144" s="2" t="s">
        <v>223</v>
      </c>
      <c r="C144" s="2" t="s">
        <v>755</v>
      </c>
      <c r="D144" s="2" t="s">
        <v>756</v>
      </c>
      <c r="E144" s="2">
        <v>10</v>
      </c>
      <c r="F144" s="9">
        <v>92000</v>
      </c>
      <c r="G144" s="2" t="str">
        <f>VLOOKUP(표4[[#This Row],[강사번호]],표2[],2,FALSE)</f>
        <v>조유정</v>
      </c>
    </row>
    <row r="145" spans="1:7" x14ac:dyDescent="0.3">
      <c r="A145" s="2" t="s">
        <v>757</v>
      </c>
      <c r="B145" s="2" t="s">
        <v>223</v>
      </c>
      <c r="C145" s="2" t="s">
        <v>758</v>
      </c>
      <c r="D145" s="2" t="s">
        <v>759</v>
      </c>
      <c r="E145" s="2">
        <v>12</v>
      </c>
      <c r="F145" s="9">
        <v>16000</v>
      </c>
      <c r="G145" s="2" t="str">
        <f>VLOOKUP(표4[[#This Row],[강사번호]],표2[],2,FALSE)</f>
        <v>조유정</v>
      </c>
    </row>
    <row r="146" spans="1:7" x14ac:dyDescent="0.3">
      <c r="A146" s="2" t="s">
        <v>760</v>
      </c>
      <c r="B146" s="2" t="s">
        <v>217</v>
      </c>
      <c r="C146" s="2" t="s">
        <v>761</v>
      </c>
      <c r="D146" s="2" t="s">
        <v>762</v>
      </c>
      <c r="E146" s="2">
        <v>90</v>
      </c>
      <c r="F146" s="9">
        <v>49000</v>
      </c>
      <c r="G146" s="2" t="str">
        <f>VLOOKUP(표4[[#This Row],[강사번호]],표2[],2,FALSE)</f>
        <v>정승익</v>
      </c>
    </row>
    <row r="147" spans="1:7" x14ac:dyDescent="0.3">
      <c r="A147" s="2" t="s">
        <v>763</v>
      </c>
      <c r="B147" s="2" t="s">
        <v>217</v>
      </c>
      <c r="C147" s="2" t="s">
        <v>764</v>
      </c>
      <c r="D147" s="2" t="s">
        <v>765</v>
      </c>
      <c r="E147" s="2">
        <v>60</v>
      </c>
      <c r="F147" s="9">
        <v>86000</v>
      </c>
      <c r="G147" s="2" t="str">
        <f>VLOOKUP(표4[[#This Row],[강사번호]],표2[],2,FALSE)</f>
        <v>정승익</v>
      </c>
    </row>
    <row r="148" spans="1:7" x14ac:dyDescent="0.3">
      <c r="A148" s="2" t="s">
        <v>766</v>
      </c>
      <c r="B148" s="2" t="s">
        <v>217</v>
      </c>
      <c r="C148" s="2" t="s">
        <v>767</v>
      </c>
      <c r="D148" s="2" t="s">
        <v>768</v>
      </c>
      <c r="E148" s="2">
        <v>150</v>
      </c>
      <c r="F148" s="9">
        <v>91000</v>
      </c>
      <c r="G148" s="2" t="str">
        <f>VLOOKUP(표4[[#This Row],[강사번호]],표2[],2,FALSE)</f>
        <v>정승익</v>
      </c>
    </row>
    <row r="149" spans="1:7" x14ac:dyDescent="0.3">
      <c r="A149" s="2" t="s">
        <v>769</v>
      </c>
      <c r="B149" s="2" t="s">
        <v>211</v>
      </c>
      <c r="C149" s="2" t="s">
        <v>770</v>
      </c>
      <c r="D149" s="2" t="s">
        <v>771</v>
      </c>
      <c r="E149" s="2">
        <v>365</v>
      </c>
      <c r="F149" s="9">
        <v>36000</v>
      </c>
      <c r="G149" s="2" t="str">
        <f>VLOOKUP(표4[[#This Row],[강사번호]],표2[],2,FALSE)</f>
        <v>주혜연</v>
      </c>
    </row>
    <row r="150" spans="1:7" x14ac:dyDescent="0.3">
      <c r="A150" s="2" t="s">
        <v>772</v>
      </c>
      <c r="B150" s="2" t="s">
        <v>211</v>
      </c>
      <c r="C150" s="2" t="s">
        <v>773</v>
      </c>
      <c r="D150" s="2" t="s">
        <v>774</v>
      </c>
      <c r="E150" s="2">
        <v>730</v>
      </c>
      <c r="F150" s="9">
        <v>190000</v>
      </c>
      <c r="G150" s="2" t="str">
        <f>VLOOKUP(표4[[#This Row],[강사번호]],표2[],2,FALSE)</f>
        <v>주혜연</v>
      </c>
    </row>
    <row r="151" spans="1:7" x14ac:dyDescent="0.3">
      <c r="A151" s="2" t="s">
        <v>775</v>
      </c>
      <c r="B151" s="2" t="s">
        <v>217</v>
      </c>
      <c r="C151" s="2" t="s">
        <v>776</v>
      </c>
      <c r="D151" s="2" t="s">
        <v>777</v>
      </c>
      <c r="E151" s="2">
        <v>30</v>
      </c>
      <c r="F151" s="9">
        <v>18000</v>
      </c>
      <c r="G151" s="2" t="str">
        <f>VLOOKUP(표4[[#This Row],[강사번호]],표2[],2,FALSE)</f>
        <v>정승익</v>
      </c>
    </row>
    <row r="152" spans="1:7" x14ac:dyDescent="0.3">
      <c r="A152" s="2" t="s">
        <v>778</v>
      </c>
      <c r="B152" s="2" t="s">
        <v>241</v>
      </c>
      <c r="C152" s="2" t="s">
        <v>779</v>
      </c>
      <c r="D152" s="2" t="s">
        <v>780</v>
      </c>
      <c r="E152" s="2">
        <v>15</v>
      </c>
      <c r="F152" s="9">
        <v>73000</v>
      </c>
      <c r="G152" s="2" t="str">
        <f>VLOOKUP(표4[[#This Row],[강사번호]],표2[],2,FALSE)</f>
        <v>김우인</v>
      </c>
    </row>
    <row r="153" spans="1:7" x14ac:dyDescent="0.3">
      <c r="A153" s="2" t="s">
        <v>781</v>
      </c>
      <c r="B153" s="2" t="s">
        <v>235</v>
      </c>
      <c r="C153" s="2" t="s">
        <v>782</v>
      </c>
      <c r="D153" s="2" t="s">
        <v>783</v>
      </c>
      <c r="E153" s="2">
        <v>60</v>
      </c>
      <c r="F153" s="9">
        <v>17000</v>
      </c>
      <c r="G153" s="2" t="str">
        <f>VLOOKUP(표4[[#This Row],[강사번호]],표2[],2,FALSE)</f>
        <v>문준혁</v>
      </c>
    </row>
    <row r="154" spans="1:7" x14ac:dyDescent="0.3">
      <c r="A154" s="2" t="s">
        <v>784</v>
      </c>
      <c r="B154" s="2" t="s">
        <v>235</v>
      </c>
      <c r="C154" s="2" t="s">
        <v>785</v>
      </c>
      <c r="D154" s="2" t="s">
        <v>786</v>
      </c>
      <c r="E154" s="2">
        <v>90</v>
      </c>
      <c r="F154" s="9">
        <v>92000</v>
      </c>
      <c r="G154" s="2" t="str">
        <f>VLOOKUP(표4[[#This Row],[강사번호]],표2[],2,FALSE)</f>
        <v>문준혁</v>
      </c>
    </row>
    <row r="155" spans="1:7" x14ac:dyDescent="0.3">
      <c r="A155" s="2" t="s">
        <v>787</v>
      </c>
      <c r="B155" s="2" t="s">
        <v>235</v>
      </c>
      <c r="C155" s="2" t="s">
        <v>788</v>
      </c>
      <c r="D155" s="2" t="s">
        <v>789</v>
      </c>
      <c r="E155" s="2">
        <v>30</v>
      </c>
      <c r="F155" s="9">
        <v>34000</v>
      </c>
      <c r="G155" s="2" t="str">
        <f>VLOOKUP(표4[[#This Row],[강사번호]],표2[],2,FALSE)</f>
        <v>문준혁</v>
      </c>
    </row>
    <row r="156" spans="1:7" x14ac:dyDescent="0.3">
      <c r="A156" s="2" t="s">
        <v>790</v>
      </c>
      <c r="B156" s="2" t="s">
        <v>229</v>
      </c>
      <c r="C156" s="2" t="s">
        <v>791</v>
      </c>
      <c r="D156" s="2" t="s">
        <v>792</v>
      </c>
      <c r="E156" s="2">
        <v>365</v>
      </c>
      <c r="F156" s="9">
        <v>75000</v>
      </c>
      <c r="G156" s="2" t="str">
        <f>VLOOKUP(표4[[#This Row],[강사번호]],표2[],2,FALSE)</f>
        <v>지현창</v>
      </c>
    </row>
    <row r="157" spans="1:7" x14ac:dyDescent="0.3">
      <c r="A157" s="2" t="s">
        <v>793</v>
      </c>
      <c r="B157" s="2" t="s">
        <v>241</v>
      </c>
      <c r="C157" s="2" t="s">
        <v>794</v>
      </c>
      <c r="D157" s="2" t="s">
        <v>795</v>
      </c>
      <c r="E157" s="2">
        <v>30</v>
      </c>
      <c r="F157" s="9">
        <v>94000</v>
      </c>
      <c r="G157" s="2" t="str">
        <f>VLOOKUP(표4[[#This Row],[강사번호]],표2[],2,FALSE)</f>
        <v>김우인</v>
      </c>
    </row>
    <row r="158" spans="1:7" x14ac:dyDescent="0.3">
      <c r="A158" s="2" t="s">
        <v>796</v>
      </c>
      <c r="B158" s="2" t="s">
        <v>229</v>
      </c>
      <c r="C158" s="2" t="s">
        <v>797</v>
      </c>
      <c r="D158" s="2" t="s">
        <v>798</v>
      </c>
      <c r="E158" s="2">
        <v>365</v>
      </c>
      <c r="F158" s="9">
        <v>67000</v>
      </c>
      <c r="G158" s="2" t="str">
        <f>VLOOKUP(표4[[#This Row],[강사번호]],표2[],2,FALSE)</f>
        <v>지현창</v>
      </c>
    </row>
    <row r="159" spans="1:7" x14ac:dyDescent="0.3">
      <c r="A159" s="2" t="s">
        <v>799</v>
      </c>
      <c r="B159" s="2" t="s">
        <v>229</v>
      </c>
      <c r="C159" s="2" t="s">
        <v>800</v>
      </c>
      <c r="D159" s="2" t="s">
        <v>801</v>
      </c>
      <c r="E159" s="2">
        <v>730</v>
      </c>
      <c r="F159" s="9">
        <v>38000</v>
      </c>
      <c r="G159" s="2" t="str">
        <f>VLOOKUP(표4[[#This Row],[강사번호]],표2[],2,FALSE)</f>
        <v>지현창</v>
      </c>
    </row>
    <row r="160" spans="1:7" x14ac:dyDescent="0.3">
      <c r="A160" s="2" t="s">
        <v>802</v>
      </c>
      <c r="B160" s="2" t="s">
        <v>241</v>
      </c>
      <c r="C160" s="2" t="s">
        <v>803</v>
      </c>
      <c r="D160" s="2" t="s">
        <v>804</v>
      </c>
      <c r="E160" s="2">
        <v>15</v>
      </c>
      <c r="F160" s="9">
        <v>820000</v>
      </c>
      <c r="G160" s="2" t="str">
        <f>VLOOKUP(표4[[#This Row],[강사번호]],표2[],2,FALSE)</f>
        <v>김우인</v>
      </c>
    </row>
    <row r="161" spans="1:7" x14ac:dyDescent="0.3">
      <c r="A161" s="2" t="s">
        <v>805</v>
      </c>
      <c r="B161" s="2" t="s">
        <v>235</v>
      </c>
      <c r="C161" s="2" t="s">
        <v>806</v>
      </c>
      <c r="D161" s="2" t="s">
        <v>807</v>
      </c>
      <c r="E161" s="2">
        <v>60</v>
      </c>
      <c r="F161" s="9">
        <v>91000</v>
      </c>
      <c r="G161" s="2" t="str">
        <f>VLOOKUP(표4[[#This Row],[강사번호]],표2[],2,FALSE)</f>
        <v>문준혁</v>
      </c>
    </row>
    <row r="162" spans="1:7" x14ac:dyDescent="0.3">
      <c r="A162" s="2" t="s">
        <v>808</v>
      </c>
      <c r="B162" s="2" t="s">
        <v>229</v>
      </c>
      <c r="C162" s="2" t="s">
        <v>809</v>
      </c>
      <c r="D162" s="2" t="s">
        <v>810</v>
      </c>
      <c r="E162" s="2">
        <v>365</v>
      </c>
      <c r="F162" s="9">
        <v>680000</v>
      </c>
      <c r="G162" s="2" t="str">
        <f>VLOOKUP(표4[[#This Row],[강사번호]],표2[],2,FALSE)</f>
        <v>지현창</v>
      </c>
    </row>
    <row r="163" spans="1:7" x14ac:dyDescent="0.3">
      <c r="A163" s="2" t="s">
        <v>811</v>
      </c>
      <c r="B163" s="2" t="s">
        <v>235</v>
      </c>
      <c r="C163" s="2" t="s">
        <v>812</v>
      </c>
      <c r="D163" s="2" t="s">
        <v>813</v>
      </c>
      <c r="E163" s="2">
        <v>60</v>
      </c>
      <c r="F163" s="9">
        <v>750000</v>
      </c>
      <c r="G163" s="2" t="str">
        <f>VLOOKUP(표4[[#This Row],[강사번호]],표2[],2,FALSE)</f>
        <v>문준혁</v>
      </c>
    </row>
    <row r="164" spans="1:7" x14ac:dyDescent="0.3">
      <c r="A164" s="2" t="s">
        <v>814</v>
      </c>
      <c r="B164" s="2" t="s">
        <v>241</v>
      </c>
      <c r="C164" s="2" t="s">
        <v>815</v>
      </c>
      <c r="D164" s="2" t="s">
        <v>816</v>
      </c>
      <c r="E164" s="2">
        <v>30</v>
      </c>
      <c r="F164" s="9">
        <v>620000</v>
      </c>
      <c r="G164" s="2" t="str">
        <f>VLOOKUP(표4[[#This Row],[강사번호]],표2[],2,FALSE)</f>
        <v>김우인</v>
      </c>
    </row>
    <row r="165" spans="1:7" x14ac:dyDescent="0.3">
      <c r="A165" s="2" t="s">
        <v>817</v>
      </c>
      <c r="B165" s="2" t="s">
        <v>241</v>
      </c>
      <c r="C165" s="2" t="s">
        <v>818</v>
      </c>
      <c r="D165" s="2" t="s">
        <v>819</v>
      </c>
      <c r="E165" s="2">
        <v>12</v>
      </c>
      <c r="F165" s="9">
        <v>930000</v>
      </c>
      <c r="G165" s="2" t="str">
        <f>VLOOKUP(표4[[#This Row],[강사번호]],표2[],2,FALSE)</f>
        <v>김우인</v>
      </c>
    </row>
    <row r="166" spans="1:7" x14ac:dyDescent="0.3">
      <c r="A166" s="2" t="s">
        <v>820</v>
      </c>
      <c r="B166" s="2" t="s">
        <v>241</v>
      </c>
      <c r="C166" s="2" t="s">
        <v>821</v>
      </c>
      <c r="D166" s="2" t="s">
        <v>822</v>
      </c>
      <c r="E166" s="2">
        <v>15</v>
      </c>
      <c r="F166" s="9">
        <v>54000</v>
      </c>
      <c r="G166" s="2" t="str">
        <f>VLOOKUP(표4[[#This Row],[강사번호]],표2[],2,FALSE)</f>
        <v>김우인</v>
      </c>
    </row>
    <row r="167" spans="1:7" x14ac:dyDescent="0.3">
      <c r="A167" s="2" t="s">
        <v>823</v>
      </c>
      <c r="B167" s="2" t="s">
        <v>235</v>
      </c>
      <c r="C167" s="2" t="s">
        <v>824</v>
      </c>
      <c r="D167" s="2" t="s">
        <v>825</v>
      </c>
      <c r="E167" s="2">
        <v>90</v>
      </c>
      <c r="F167" s="9">
        <v>65000</v>
      </c>
      <c r="G167" s="2" t="str">
        <f>VLOOKUP(표4[[#This Row],[강사번호]],표2[],2,FALSE)</f>
        <v>문준혁</v>
      </c>
    </row>
    <row r="168" spans="1:7" x14ac:dyDescent="0.3">
      <c r="A168" s="2" t="s">
        <v>826</v>
      </c>
      <c r="B168" s="2" t="s">
        <v>229</v>
      </c>
      <c r="C168" s="2" t="s">
        <v>827</v>
      </c>
      <c r="D168" s="2" t="s">
        <v>828</v>
      </c>
      <c r="E168" s="2">
        <v>365</v>
      </c>
      <c r="F168" s="9">
        <v>750000</v>
      </c>
      <c r="G168" s="2" t="str">
        <f>VLOOKUP(표4[[#This Row],[강사번호]],표2[],2,FALSE)</f>
        <v>지현창</v>
      </c>
    </row>
    <row r="169" spans="1:7" x14ac:dyDescent="0.3">
      <c r="A169" s="2" t="s">
        <v>829</v>
      </c>
      <c r="B169" s="2" t="s">
        <v>235</v>
      </c>
      <c r="C169" s="2" t="s">
        <v>830</v>
      </c>
      <c r="D169" s="2" t="s">
        <v>831</v>
      </c>
      <c r="E169" s="2">
        <v>60</v>
      </c>
      <c r="F169" s="9">
        <v>22000</v>
      </c>
      <c r="G169" s="2" t="str">
        <f>VLOOKUP(표4[[#This Row],[강사번호]],표2[],2,FALSE)</f>
        <v>문준혁</v>
      </c>
    </row>
    <row r="170" spans="1:7" x14ac:dyDescent="0.3">
      <c r="A170" s="2" t="s">
        <v>832</v>
      </c>
      <c r="B170" s="2" t="s">
        <v>241</v>
      </c>
      <c r="C170" s="2" t="s">
        <v>833</v>
      </c>
      <c r="D170" s="2" t="s">
        <v>834</v>
      </c>
      <c r="E170" s="2">
        <v>25</v>
      </c>
      <c r="F170" s="9">
        <v>63000</v>
      </c>
      <c r="G170" s="2" t="str">
        <f>VLOOKUP(표4[[#This Row],[강사번호]],표2[],2,FALSE)</f>
        <v>김우인</v>
      </c>
    </row>
    <row r="171" spans="1:7" x14ac:dyDescent="0.3">
      <c r="A171" s="2" t="s">
        <v>835</v>
      </c>
      <c r="B171" s="2" t="s">
        <v>235</v>
      </c>
      <c r="C171" s="2" t="s">
        <v>836</v>
      </c>
      <c r="D171" s="2" t="s">
        <v>837</v>
      </c>
      <c r="E171" s="2">
        <v>60</v>
      </c>
      <c r="F171" s="9">
        <v>91000</v>
      </c>
      <c r="G171" s="2" t="str">
        <f>VLOOKUP(표4[[#This Row],[강사번호]],표2[],2,FALSE)</f>
        <v>문준혁</v>
      </c>
    </row>
    <row r="172" spans="1:7" x14ac:dyDescent="0.3">
      <c r="A172" s="2" t="s">
        <v>838</v>
      </c>
      <c r="B172" s="2" t="s">
        <v>235</v>
      </c>
      <c r="C172" s="2" t="s">
        <v>839</v>
      </c>
      <c r="D172" s="2" t="s">
        <v>840</v>
      </c>
      <c r="E172" s="2">
        <v>90</v>
      </c>
      <c r="F172" s="9">
        <v>35000</v>
      </c>
      <c r="G172" s="2" t="str">
        <f>VLOOKUP(표4[[#This Row],[강사번호]],표2[],2,FALSE)</f>
        <v>문준혁</v>
      </c>
    </row>
    <row r="173" spans="1:7" x14ac:dyDescent="0.3">
      <c r="A173" s="2" t="s">
        <v>841</v>
      </c>
      <c r="B173" s="2" t="s">
        <v>235</v>
      </c>
      <c r="C173" s="2" t="s">
        <v>842</v>
      </c>
      <c r="D173" s="2" t="s">
        <v>843</v>
      </c>
      <c r="E173" s="2">
        <v>30</v>
      </c>
      <c r="F173" s="9">
        <v>67000</v>
      </c>
      <c r="G173" s="2" t="str">
        <f>VLOOKUP(표4[[#This Row],[강사번호]],표2[],2,FALSE)</f>
        <v>문준혁</v>
      </c>
    </row>
    <row r="174" spans="1:7" x14ac:dyDescent="0.3">
      <c r="A174" s="2" t="s">
        <v>844</v>
      </c>
      <c r="B174" s="2" t="s">
        <v>235</v>
      </c>
      <c r="C174" s="2" t="s">
        <v>845</v>
      </c>
      <c r="D174" s="2" t="s">
        <v>846</v>
      </c>
      <c r="E174" s="2">
        <v>60</v>
      </c>
      <c r="F174" s="9">
        <v>71000</v>
      </c>
      <c r="G174" s="2" t="str">
        <f>VLOOKUP(표4[[#This Row],[강사번호]],표2[],2,FALSE)</f>
        <v>문준혁</v>
      </c>
    </row>
    <row r="175" spans="1:7" x14ac:dyDescent="0.3">
      <c r="A175" s="2" t="s">
        <v>847</v>
      </c>
      <c r="B175" s="2" t="s">
        <v>241</v>
      </c>
      <c r="C175" s="2" t="s">
        <v>848</v>
      </c>
      <c r="D175" s="2" t="s">
        <v>849</v>
      </c>
      <c r="E175" s="2">
        <v>15</v>
      </c>
      <c r="F175" s="9">
        <v>92000</v>
      </c>
      <c r="G175" s="2" t="str">
        <f>VLOOKUP(표4[[#This Row],[강사번호]],표2[],2,FALSE)</f>
        <v>김우인</v>
      </c>
    </row>
    <row r="176" spans="1:7" x14ac:dyDescent="0.3">
      <c r="A176" s="2" t="s">
        <v>850</v>
      </c>
      <c r="B176" s="2" t="s">
        <v>229</v>
      </c>
      <c r="C176" s="2" t="s">
        <v>851</v>
      </c>
      <c r="D176" s="2" t="s">
        <v>852</v>
      </c>
      <c r="E176" s="2">
        <v>365</v>
      </c>
      <c r="F176" s="9">
        <v>725000</v>
      </c>
      <c r="G176" s="2" t="str">
        <f>VLOOKUP(표4[[#This Row],[강사번호]],표2[],2,FALSE)</f>
        <v>지현창</v>
      </c>
    </row>
    <row r="177" spans="1:7" x14ac:dyDescent="0.3">
      <c r="A177" s="2" t="s">
        <v>853</v>
      </c>
      <c r="B177" s="2" t="s">
        <v>235</v>
      </c>
      <c r="C177" s="2" t="s">
        <v>854</v>
      </c>
      <c r="D177" s="2" t="s">
        <v>855</v>
      </c>
      <c r="E177" s="2">
        <v>30</v>
      </c>
      <c r="F177" s="9">
        <v>45000</v>
      </c>
      <c r="G177" s="2" t="str">
        <f>VLOOKUP(표4[[#This Row],[강사번호]],표2[],2,FALSE)</f>
        <v>문준혁</v>
      </c>
    </row>
    <row r="178" spans="1:7" x14ac:dyDescent="0.3">
      <c r="A178" s="2" t="s">
        <v>856</v>
      </c>
      <c r="B178" s="2" t="s">
        <v>241</v>
      </c>
      <c r="C178" s="2" t="s">
        <v>857</v>
      </c>
      <c r="D178" s="2" t="s">
        <v>858</v>
      </c>
      <c r="E178" s="2">
        <v>10</v>
      </c>
      <c r="F178" s="9">
        <v>64000</v>
      </c>
      <c r="G178" s="2" t="str">
        <f>VLOOKUP(표4[[#This Row],[강사번호]],표2[],2,FALSE)</f>
        <v>김우인</v>
      </c>
    </row>
    <row r="179" spans="1:7" x14ac:dyDescent="0.3">
      <c r="A179" s="2" t="s">
        <v>859</v>
      </c>
      <c r="B179" s="2" t="s">
        <v>241</v>
      </c>
      <c r="C179" s="2" t="s">
        <v>860</v>
      </c>
      <c r="D179" s="2" t="s">
        <v>861</v>
      </c>
      <c r="E179" s="2">
        <v>20</v>
      </c>
      <c r="F179" s="9">
        <v>756000</v>
      </c>
      <c r="G179" s="2" t="str">
        <f>VLOOKUP(표4[[#This Row],[강사번호]],표2[],2,FALSE)</f>
        <v>김우인</v>
      </c>
    </row>
    <row r="180" spans="1:7" x14ac:dyDescent="0.3">
      <c r="A180" s="2" t="s">
        <v>862</v>
      </c>
      <c r="B180" s="2" t="s">
        <v>235</v>
      </c>
      <c r="C180" s="2" t="s">
        <v>863</v>
      </c>
      <c r="D180" s="2" t="s">
        <v>864</v>
      </c>
      <c r="E180" s="2">
        <v>60</v>
      </c>
      <c r="F180" s="9">
        <v>54000</v>
      </c>
      <c r="G180" s="2" t="str">
        <f>VLOOKUP(표4[[#This Row],[강사번호]],표2[],2,FALSE)</f>
        <v>문준혁</v>
      </c>
    </row>
    <row r="181" spans="1:7" x14ac:dyDescent="0.3">
      <c r="A181" s="2" t="s">
        <v>865</v>
      </c>
      <c r="B181" s="2" t="s">
        <v>229</v>
      </c>
      <c r="C181" s="2" t="s">
        <v>866</v>
      </c>
      <c r="D181" s="2" t="s">
        <v>867</v>
      </c>
      <c r="E181" s="2">
        <v>730</v>
      </c>
      <c r="F181" s="9">
        <v>836000</v>
      </c>
      <c r="G181" s="2" t="str">
        <f>VLOOKUP(표4[[#This Row],[강사번호]],표2[],2,FALSE)</f>
        <v>지현창</v>
      </c>
    </row>
    <row r="182" spans="1:7" x14ac:dyDescent="0.3">
      <c r="A182" s="2" t="s">
        <v>868</v>
      </c>
      <c r="B182" s="2" t="s">
        <v>259</v>
      </c>
      <c r="C182" s="2" t="s">
        <v>869</v>
      </c>
      <c r="D182" s="2" t="s">
        <v>870</v>
      </c>
      <c r="E182" s="2">
        <v>15</v>
      </c>
      <c r="F182" s="9">
        <v>22000</v>
      </c>
      <c r="G182" s="2" t="str">
        <f>VLOOKUP(표4[[#This Row],[강사번호]],표2[],2,FALSE)</f>
        <v>김연서</v>
      </c>
    </row>
    <row r="183" spans="1:7" x14ac:dyDescent="0.3">
      <c r="A183" s="2" t="s">
        <v>871</v>
      </c>
      <c r="B183" s="2" t="s">
        <v>247</v>
      </c>
      <c r="C183" s="2" t="s">
        <v>872</v>
      </c>
      <c r="D183" s="2" t="s">
        <v>873</v>
      </c>
      <c r="E183" s="2">
        <v>365</v>
      </c>
      <c r="F183" s="9">
        <v>34000</v>
      </c>
      <c r="G183" s="2" t="str">
        <f>VLOOKUP(표4[[#This Row],[강사번호]],표2[],2,FALSE)</f>
        <v>김민우</v>
      </c>
    </row>
    <row r="184" spans="1:7" x14ac:dyDescent="0.3">
      <c r="A184" s="2" t="s">
        <v>874</v>
      </c>
      <c r="B184" s="2" t="s">
        <v>259</v>
      </c>
      <c r="C184" s="2" t="s">
        <v>875</v>
      </c>
      <c r="D184" s="2" t="s">
        <v>876</v>
      </c>
      <c r="E184" s="2">
        <v>12</v>
      </c>
      <c r="F184" s="9">
        <v>75000</v>
      </c>
      <c r="G184" s="2" t="str">
        <f>VLOOKUP(표4[[#This Row],[강사번호]],표2[],2,FALSE)</f>
        <v>김연서</v>
      </c>
    </row>
    <row r="185" spans="1:7" x14ac:dyDescent="0.3">
      <c r="A185" s="2" t="s">
        <v>877</v>
      </c>
      <c r="B185" s="2" t="s">
        <v>253</v>
      </c>
      <c r="C185" s="2" t="s">
        <v>878</v>
      </c>
      <c r="D185" s="2" t="s">
        <v>879</v>
      </c>
      <c r="E185" s="2">
        <v>60</v>
      </c>
      <c r="F185" s="9">
        <v>95000</v>
      </c>
      <c r="G185" s="2" t="str">
        <f>VLOOKUP(표4[[#This Row],[강사번호]],표2[],2,FALSE)</f>
        <v>김가연</v>
      </c>
    </row>
    <row r="186" spans="1:7" x14ac:dyDescent="0.3">
      <c r="A186" s="2" t="s">
        <v>880</v>
      </c>
      <c r="B186" s="2" t="s">
        <v>253</v>
      </c>
      <c r="C186" s="2" t="s">
        <v>881</v>
      </c>
      <c r="D186" s="2" t="s">
        <v>882</v>
      </c>
      <c r="E186" s="2">
        <v>90</v>
      </c>
      <c r="F186" s="9">
        <v>75000</v>
      </c>
      <c r="G186" s="2" t="str">
        <f>VLOOKUP(표4[[#This Row],[강사번호]],표2[],2,FALSE)</f>
        <v>김가연</v>
      </c>
    </row>
    <row r="187" spans="1:7" x14ac:dyDescent="0.3">
      <c r="A187" s="2" t="s">
        <v>883</v>
      </c>
      <c r="B187" s="2" t="s">
        <v>259</v>
      </c>
      <c r="C187" s="2" t="s">
        <v>884</v>
      </c>
      <c r="D187" s="2" t="s">
        <v>885</v>
      </c>
      <c r="E187" s="2">
        <v>15</v>
      </c>
      <c r="F187" s="9">
        <v>76000</v>
      </c>
      <c r="G187" s="2" t="str">
        <f>VLOOKUP(표4[[#This Row],[강사번호]],표2[],2,FALSE)</f>
        <v>김연서</v>
      </c>
    </row>
    <row r="188" spans="1:7" x14ac:dyDescent="0.3">
      <c r="A188" s="2" t="s">
        <v>886</v>
      </c>
      <c r="B188" s="2" t="s">
        <v>253</v>
      </c>
      <c r="C188" s="2" t="s">
        <v>887</v>
      </c>
      <c r="D188" s="2" t="s">
        <v>888</v>
      </c>
      <c r="E188" s="2">
        <v>60</v>
      </c>
      <c r="F188" s="9">
        <v>16000</v>
      </c>
      <c r="G188" s="2" t="str">
        <f>VLOOKUP(표4[[#This Row],[강사번호]],표2[],2,FALSE)</f>
        <v>김가연</v>
      </c>
    </row>
    <row r="189" spans="1:7" x14ac:dyDescent="0.3">
      <c r="A189" s="2" t="s">
        <v>889</v>
      </c>
      <c r="B189" s="2" t="s">
        <v>247</v>
      </c>
      <c r="C189" s="2" t="s">
        <v>890</v>
      </c>
      <c r="D189" s="2" t="s">
        <v>891</v>
      </c>
      <c r="E189" s="2">
        <v>90</v>
      </c>
      <c r="F189" s="9">
        <v>45000</v>
      </c>
      <c r="G189" s="2" t="str">
        <f>VLOOKUP(표4[[#This Row],[강사번호]],표2[],2,FALSE)</f>
        <v>김민우</v>
      </c>
    </row>
    <row r="190" spans="1:7" x14ac:dyDescent="0.3">
      <c r="A190" s="2" t="s">
        <v>892</v>
      </c>
      <c r="B190" s="2" t="s">
        <v>253</v>
      </c>
      <c r="C190" s="2" t="s">
        <v>893</v>
      </c>
      <c r="D190" s="2" t="s">
        <v>894</v>
      </c>
      <c r="E190" s="2">
        <v>120</v>
      </c>
      <c r="F190" s="9">
        <v>83000</v>
      </c>
      <c r="G190" s="2" t="str">
        <f>VLOOKUP(표4[[#This Row],[강사번호]],표2[],2,FALSE)</f>
        <v>김가연</v>
      </c>
    </row>
    <row r="191" spans="1:7" x14ac:dyDescent="0.3">
      <c r="A191" s="2" t="s">
        <v>895</v>
      </c>
      <c r="B191" s="2" t="s">
        <v>259</v>
      </c>
      <c r="C191" s="2" t="s">
        <v>896</v>
      </c>
      <c r="D191" s="2" t="s">
        <v>897</v>
      </c>
      <c r="E191" s="2">
        <v>30</v>
      </c>
      <c r="F191" s="9">
        <v>28000</v>
      </c>
      <c r="G191" s="2" t="str">
        <f>VLOOKUP(표4[[#This Row],[강사번호]],표2[],2,FALSE)</f>
        <v>김연서</v>
      </c>
    </row>
    <row r="192" spans="1:7" x14ac:dyDescent="0.3">
      <c r="A192" s="2" t="s">
        <v>898</v>
      </c>
      <c r="B192" s="2" t="s">
        <v>253</v>
      </c>
      <c r="C192" s="2" t="s">
        <v>899</v>
      </c>
      <c r="D192" s="2" t="s">
        <v>900</v>
      </c>
      <c r="E192" s="2">
        <v>60</v>
      </c>
      <c r="F192" s="9">
        <v>91000</v>
      </c>
      <c r="G192" s="2" t="str">
        <f>VLOOKUP(표4[[#This Row],[강사번호]],표2[],2,FALSE)</f>
        <v>김가연</v>
      </c>
    </row>
    <row r="193" spans="1:7" x14ac:dyDescent="0.3">
      <c r="A193" s="2" t="s">
        <v>901</v>
      </c>
      <c r="B193" s="2" t="s">
        <v>259</v>
      </c>
      <c r="C193" s="2" t="s">
        <v>902</v>
      </c>
      <c r="D193" s="2" t="s">
        <v>903</v>
      </c>
      <c r="E193" s="2">
        <v>15</v>
      </c>
      <c r="F193" s="9">
        <v>75000</v>
      </c>
      <c r="G193" s="2" t="str">
        <f>VLOOKUP(표4[[#This Row],[강사번호]],표2[],2,FALSE)</f>
        <v>김연서</v>
      </c>
    </row>
    <row r="194" spans="1:7" x14ac:dyDescent="0.3">
      <c r="A194" s="2" t="s">
        <v>904</v>
      </c>
      <c r="B194" s="2" t="s">
        <v>253</v>
      </c>
      <c r="C194" s="2" t="s">
        <v>905</v>
      </c>
      <c r="D194" s="2" t="s">
        <v>906</v>
      </c>
      <c r="E194" s="2">
        <v>60</v>
      </c>
      <c r="F194" s="9">
        <v>85000</v>
      </c>
      <c r="G194" s="2" t="str">
        <f>VLOOKUP(표4[[#This Row],[강사번호]],표2[],2,FALSE)</f>
        <v>김가연</v>
      </c>
    </row>
    <row r="195" spans="1:7" x14ac:dyDescent="0.3">
      <c r="A195" s="2" t="s">
        <v>907</v>
      </c>
      <c r="B195" s="2" t="s">
        <v>253</v>
      </c>
      <c r="C195" s="2" t="s">
        <v>908</v>
      </c>
      <c r="D195" s="2" t="s">
        <v>909</v>
      </c>
      <c r="E195" s="2">
        <v>30</v>
      </c>
      <c r="F195" s="9">
        <v>46000</v>
      </c>
      <c r="G195" s="2" t="str">
        <f>VLOOKUP(표4[[#This Row],[강사번호]],표2[],2,FALSE)</f>
        <v>김가연</v>
      </c>
    </row>
    <row r="196" spans="1:7" x14ac:dyDescent="0.3">
      <c r="A196" s="2" t="s">
        <v>910</v>
      </c>
      <c r="B196" s="2" t="s">
        <v>259</v>
      </c>
      <c r="C196" s="2" t="s">
        <v>911</v>
      </c>
      <c r="D196" s="2" t="s">
        <v>912</v>
      </c>
      <c r="E196" s="2">
        <v>15</v>
      </c>
      <c r="F196" s="9">
        <v>35000</v>
      </c>
      <c r="G196" s="2" t="str">
        <f>VLOOKUP(표4[[#This Row],[강사번호]],표2[],2,FALSE)</f>
        <v>김연서</v>
      </c>
    </row>
    <row r="197" spans="1:7" x14ac:dyDescent="0.3">
      <c r="A197" s="2" t="s">
        <v>913</v>
      </c>
      <c r="B197" s="2" t="s">
        <v>247</v>
      </c>
      <c r="C197" s="2" t="s">
        <v>914</v>
      </c>
      <c r="D197" s="2" t="s">
        <v>915</v>
      </c>
      <c r="E197" s="2">
        <v>365</v>
      </c>
      <c r="F197" s="9">
        <v>75000</v>
      </c>
      <c r="G197" s="2" t="str">
        <f>VLOOKUP(표4[[#This Row],[강사번호]],표2[],2,FALSE)</f>
        <v>김민우</v>
      </c>
    </row>
    <row r="198" spans="1:7" x14ac:dyDescent="0.3">
      <c r="A198" s="2" t="s">
        <v>916</v>
      </c>
      <c r="B198" s="2" t="s">
        <v>253</v>
      </c>
      <c r="C198" s="2" t="s">
        <v>917</v>
      </c>
      <c r="D198" s="2" t="s">
        <v>918</v>
      </c>
      <c r="E198" s="2">
        <v>90</v>
      </c>
      <c r="F198" s="9">
        <v>15000</v>
      </c>
      <c r="G198" s="2" t="str">
        <f>VLOOKUP(표4[[#This Row],[강사번호]],표2[],2,FALSE)</f>
        <v>김가연</v>
      </c>
    </row>
    <row r="199" spans="1:7" x14ac:dyDescent="0.3">
      <c r="A199" s="2" t="s">
        <v>919</v>
      </c>
      <c r="B199" s="2" t="s">
        <v>259</v>
      </c>
      <c r="C199" s="2" t="s">
        <v>920</v>
      </c>
      <c r="D199" s="2" t="s">
        <v>921</v>
      </c>
      <c r="E199" s="2">
        <v>15</v>
      </c>
      <c r="F199" s="9">
        <v>95000</v>
      </c>
      <c r="G199" s="2" t="str">
        <f>VLOOKUP(표4[[#This Row],[강사번호]],표2[],2,FALSE)</f>
        <v>김연서</v>
      </c>
    </row>
    <row r="200" spans="1:7" x14ac:dyDescent="0.3">
      <c r="A200" s="2" t="s">
        <v>922</v>
      </c>
      <c r="B200" s="2" t="s">
        <v>247</v>
      </c>
      <c r="C200" s="2" t="s">
        <v>923</v>
      </c>
      <c r="D200" s="2" t="s">
        <v>924</v>
      </c>
      <c r="E200" s="2">
        <v>730</v>
      </c>
      <c r="F200" s="9">
        <v>72000</v>
      </c>
      <c r="G200" s="2" t="str">
        <f>VLOOKUP(표4[[#This Row],[강사번호]],표2[],2,FALSE)</f>
        <v>김민우</v>
      </c>
    </row>
    <row r="201" spans="1:7" x14ac:dyDescent="0.3">
      <c r="A201" s="2" t="s">
        <v>925</v>
      </c>
      <c r="B201" s="2" t="s">
        <v>259</v>
      </c>
      <c r="C201" s="2" t="s">
        <v>926</v>
      </c>
      <c r="D201" s="2" t="s">
        <v>927</v>
      </c>
      <c r="E201" s="2">
        <v>15</v>
      </c>
      <c r="F201" s="9">
        <v>35000</v>
      </c>
      <c r="G201" s="2" t="str">
        <f>VLOOKUP(표4[[#This Row],[강사번호]],표2[],2,FALSE)</f>
        <v>김연서</v>
      </c>
    </row>
    <row r="202" spans="1:7" x14ac:dyDescent="0.3">
      <c r="A202" s="2" t="s">
        <v>928</v>
      </c>
      <c r="B202" s="2" t="s">
        <v>259</v>
      </c>
      <c r="C202" s="2" t="s">
        <v>929</v>
      </c>
      <c r="D202" s="2" t="s">
        <v>930</v>
      </c>
      <c r="E202" s="2">
        <v>10</v>
      </c>
      <c r="F202" s="9">
        <v>18000</v>
      </c>
      <c r="G202" s="2" t="str">
        <f>VLOOKUP(표4[[#This Row],[강사번호]],표2[],2,FALSE)</f>
        <v>김연서</v>
      </c>
    </row>
    <row r="203" spans="1:7" x14ac:dyDescent="0.3">
      <c r="A203" s="2" t="s">
        <v>931</v>
      </c>
      <c r="B203" s="2" t="s">
        <v>247</v>
      </c>
      <c r="C203" s="2" t="s">
        <v>932</v>
      </c>
      <c r="D203" s="2" t="s">
        <v>933</v>
      </c>
      <c r="E203" s="2">
        <v>365</v>
      </c>
      <c r="F203" s="9">
        <v>920000</v>
      </c>
      <c r="G203" s="2" t="str">
        <f>VLOOKUP(표4[[#This Row],[강사번호]],표2[],2,FALSE)</f>
        <v>김민우</v>
      </c>
    </row>
    <row r="204" spans="1:7" x14ac:dyDescent="0.3">
      <c r="A204" s="2" t="s">
        <v>934</v>
      </c>
      <c r="B204" s="2" t="s">
        <v>247</v>
      </c>
      <c r="C204" s="2" t="s">
        <v>935</v>
      </c>
      <c r="D204" s="2" t="s">
        <v>936</v>
      </c>
      <c r="E204" s="2">
        <v>1095</v>
      </c>
      <c r="F204" s="9">
        <v>65000</v>
      </c>
      <c r="G204" s="2" t="str">
        <f>VLOOKUP(표4[[#This Row],[강사번호]],표2[],2,FALSE)</f>
        <v>김민우</v>
      </c>
    </row>
    <row r="205" spans="1:7" x14ac:dyDescent="0.3">
      <c r="A205" s="2" t="s">
        <v>937</v>
      </c>
      <c r="B205" s="2" t="s">
        <v>259</v>
      </c>
      <c r="C205" s="2" t="s">
        <v>938</v>
      </c>
      <c r="D205" s="2" t="s">
        <v>939</v>
      </c>
      <c r="E205" s="2">
        <v>15</v>
      </c>
      <c r="F205" s="9">
        <v>75000</v>
      </c>
      <c r="G205" s="2" t="str">
        <f>VLOOKUP(표4[[#This Row],[강사번호]],표2[],2,FALSE)</f>
        <v>김연서</v>
      </c>
    </row>
    <row r="206" spans="1:7" x14ac:dyDescent="0.3">
      <c r="A206" s="2" t="s">
        <v>940</v>
      </c>
      <c r="B206" s="2" t="s">
        <v>259</v>
      </c>
      <c r="C206" s="2" t="s">
        <v>941</v>
      </c>
      <c r="D206" s="2" t="s">
        <v>942</v>
      </c>
      <c r="E206" s="2">
        <v>10</v>
      </c>
      <c r="F206" s="9">
        <v>38000</v>
      </c>
      <c r="G206" s="2" t="str">
        <f>VLOOKUP(표4[[#This Row],[강사번호]],표2[],2,FALSE)</f>
        <v>김연서</v>
      </c>
    </row>
    <row r="207" spans="1:7" x14ac:dyDescent="0.3">
      <c r="A207" s="2" t="s">
        <v>943</v>
      </c>
      <c r="B207" s="2" t="s">
        <v>247</v>
      </c>
      <c r="C207" s="2" t="s">
        <v>944</v>
      </c>
      <c r="D207" s="2" t="s">
        <v>945</v>
      </c>
      <c r="E207" s="2">
        <v>365</v>
      </c>
      <c r="F207" s="9">
        <v>49000</v>
      </c>
      <c r="G207" s="2" t="str">
        <f>VLOOKUP(표4[[#This Row],[강사번호]],표2[],2,FALSE)</f>
        <v>김민우</v>
      </c>
    </row>
    <row r="208" spans="1:7" x14ac:dyDescent="0.3">
      <c r="A208" s="2" t="s">
        <v>946</v>
      </c>
      <c r="B208" s="2" t="s">
        <v>253</v>
      </c>
      <c r="C208" s="2" t="s">
        <v>947</v>
      </c>
      <c r="D208" s="2" t="s">
        <v>948</v>
      </c>
      <c r="E208" s="2">
        <v>60</v>
      </c>
      <c r="F208" s="9">
        <v>75000</v>
      </c>
      <c r="G208" s="2" t="str">
        <f>VLOOKUP(표4[[#This Row],[강사번호]],표2[],2,FALSE)</f>
        <v>김가연</v>
      </c>
    </row>
    <row r="209" spans="1:7" x14ac:dyDescent="0.3">
      <c r="A209" s="2" t="s">
        <v>949</v>
      </c>
      <c r="B209" s="2" t="s">
        <v>259</v>
      </c>
      <c r="C209" s="2" t="s">
        <v>950</v>
      </c>
      <c r="D209" s="2" t="s">
        <v>951</v>
      </c>
      <c r="E209" s="2">
        <v>20</v>
      </c>
      <c r="F209" s="9">
        <v>62000</v>
      </c>
      <c r="G209" s="2" t="str">
        <f>VLOOKUP(표4[[#This Row],[강사번호]],표2[],2,FALSE)</f>
        <v>김연서</v>
      </c>
    </row>
    <row r="210" spans="1:7" x14ac:dyDescent="0.3">
      <c r="A210" s="2" t="s">
        <v>952</v>
      </c>
      <c r="B210" s="2" t="s">
        <v>247</v>
      </c>
      <c r="C210" s="2" t="s">
        <v>953</v>
      </c>
      <c r="D210" s="2" t="s">
        <v>954</v>
      </c>
      <c r="E210" s="2">
        <v>365</v>
      </c>
      <c r="F210" s="9">
        <v>15000</v>
      </c>
      <c r="G210" s="2" t="str">
        <f>VLOOKUP(표4[[#This Row],[강사번호]],표2[],2,FALSE)</f>
        <v>김민우</v>
      </c>
    </row>
    <row r="211" spans="1:7" x14ac:dyDescent="0.3">
      <c r="A211" s="2" t="s">
        <v>955</v>
      </c>
      <c r="B211" s="2" t="s">
        <v>247</v>
      </c>
      <c r="C211" s="2" t="s">
        <v>956</v>
      </c>
      <c r="D211" s="2" t="s">
        <v>957</v>
      </c>
      <c r="E211" s="2">
        <v>730</v>
      </c>
      <c r="F211" s="9">
        <v>692000</v>
      </c>
      <c r="G211" s="2" t="str">
        <f>VLOOKUP(표4[[#This Row],[강사번호]],표2[],2,FALSE)</f>
        <v>김민우</v>
      </c>
    </row>
    <row r="212" spans="1:7" x14ac:dyDescent="0.3">
      <c r="A212" s="2" t="s">
        <v>958</v>
      </c>
      <c r="B212" s="2" t="s">
        <v>253</v>
      </c>
      <c r="C212" s="2" t="s">
        <v>959</v>
      </c>
      <c r="D212" s="2" t="s">
        <v>960</v>
      </c>
      <c r="E212" s="2">
        <v>60</v>
      </c>
      <c r="F212" s="9">
        <v>18000</v>
      </c>
      <c r="G212" s="2" t="str">
        <f>VLOOKUP(표4[[#This Row],[강사번호]],표2[],2,FALSE)</f>
        <v>김가연</v>
      </c>
    </row>
    <row r="213" spans="1:7" x14ac:dyDescent="0.3">
      <c r="A213" s="2" t="s">
        <v>961</v>
      </c>
      <c r="B213" s="2" t="s">
        <v>259</v>
      </c>
      <c r="C213" s="2" t="s">
        <v>962</v>
      </c>
      <c r="D213" s="2" t="s">
        <v>963</v>
      </c>
      <c r="E213" s="2">
        <v>20</v>
      </c>
      <c r="F213" s="9">
        <v>98000</v>
      </c>
      <c r="G213" s="2" t="str">
        <f>VLOOKUP(표4[[#This Row],[강사번호]],표2[],2,FALSE)</f>
        <v>김연서</v>
      </c>
    </row>
    <row r="214" spans="1:7" x14ac:dyDescent="0.3">
      <c r="A214" s="2" t="s">
        <v>964</v>
      </c>
      <c r="B214" s="2" t="s">
        <v>247</v>
      </c>
      <c r="C214" s="2" t="s">
        <v>965</v>
      </c>
      <c r="D214" s="2" t="s">
        <v>966</v>
      </c>
      <c r="E214" s="2">
        <v>365</v>
      </c>
      <c r="F214" s="9">
        <v>75000</v>
      </c>
      <c r="G214" s="2" t="str">
        <f>VLOOKUP(표4[[#This Row],[강사번호]],표2[],2,FALSE)</f>
        <v>김민우</v>
      </c>
    </row>
    <row r="215" spans="1:7" x14ac:dyDescent="0.3">
      <c r="A215" s="2" t="s">
        <v>967</v>
      </c>
      <c r="B215" s="2" t="s">
        <v>253</v>
      </c>
      <c r="C215" s="2" t="s">
        <v>968</v>
      </c>
      <c r="D215" s="2" t="s">
        <v>969</v>
      </c>
      <c r="E215" s="2">
        <v>60</v>
      </c>
      <c r="F215" s="9">
        <v>395000</v>
      </c>
      <c r="G215" s="2" t="str">
        <f>VLOOKUP(표4[[#This Row],[강사번호]],표2[],2,FALSE)</f>
        <v>김가연</v>
      </c>
    </row>
    <row r="216" spans="1:7" x14ac:dyDescent="0.3">
      <c r="A216" s="2" t="s">
        <v>970</v>
      </c>
      <c r="B216" s="2" t="s">
        <v>247</v>
      </c>
      <c r="C216" s="2" t="s">
        <v>971</v>
      </c>
      <c r="D216" s="2" t="s">
        <v>972</v>
      </c>
      <c r="E216" s="2">
        <v>730</v>
      </c>
      <c r="F216" s="9">
        <v>56000</v>
      </c>
      <c r="G216" s="2" t="str">
        <f>VLOOKUP(표4[[#This Row],[강사번호]],표2[],2,FALSE)</f>
        <v>김민우</v>
      </c>
    </row>
    <row r="217" spans="1:7" x14ac:dyDescent="0.3">
      <c r="A217" s="2" t="s">
        <v>973</v>
      </c>
      <c r="B217" s="2" t="s">
        <v>259</v>
      </c>
      <c r="C217" s="2" t="s">
        <v>974</v>
      </c>
      <c r="D217" s="2" t="s">
        <v>975</v>
      </c>
      <c r="E217" s="2">
        <v>15</v>
      </c>
      <c r="F217" s="9">
        <v>12000</v>
      </c>
      <c r="G217" s="2" t="str">
        <f>VLOOKUP(표4[[#This Row],[강사번호]],표2[],2,FALSE)</f>
        <v>김연서</v>
      </c>
    </row>
    <row r="218" spans="1:7" x14ac:dyDescent="0.3">
      <c r="A218" s="2" t="s">
        <v>976</v>
      </c>
      <c r="B218" s="2" t="s">
        <v>253</v>
      </c>
      <c r="C218" s="2" t="s">
        <v>977</v>
      </c>
      <c r="D218" s="2" t="s">
        <v>978</v>
      </c>
      <c r="E218" s="2">
        <v>30</v>
      </c>
      <c r="F218" s="9">
        <v>37000</v>
      </c>
      <c r="G218" s="2" t="str">
        <f>VLOOKUP(표4[[#This Row],[강사번호]],표2[],2,FALSE)</f>
        <v>김가연</v>
      </c>
    </row>
    <row r="219" spans="1:7" x14ac:dyDescent="0.3">
      <c r="A219" s="2" t="s">
        <v>979</v>
      </c>
      <c r="B219" s="2" t="s">
        <v>253</v>
      </c>
      <c r="C219" s="2" t="s">
        <v>980</v>
      </c>
      <c r="D219" s="2" t="s">
        <v>981</v>
      </c>
      <c r="E219" s="2">
        <v>90</v>
      </c>
      <c r="F219" s="9">
        <v>65000</v>
      </c>
      <c r="G219" s="2" t="str">
        <f>VLOOKUP(표4[[#This Row],[강사번호]],표2[],2,FALSE)</f>
        <v>김가연</v>
      </c>
    </row>
    <row r="220" spans="1:7" x14ac:dyDescent="0.3">
      <c r="A220" s="2" t="s">
        <v>982</v>
      </c>
      <c r="B220" s="2" t="s">
        <v>253</v>
      </c>
      <c r="C220" s="2" t="s">
        <v>983</v>
      </c>
      <c r="D220" s="2" t="s">
        <v>984</v>
      </c>
      <c r="E220" s="2">
        <v>60</v>
      </c>
      <c r="F220" s="9">
        <v>95000</v>
      </c>
      <c r="G220" s="2" t="str">
        <f>VLOOKUP(표4[[#This Row],[강사번호]],표2[],2,FALSE)</f>
        <v>김가연</v>
      </c>
    </row>
    <row r="221" spans="1:7" x14ac:dyDescent="0.3">
      <c r="A221" s="2" t="s">
        <v>985</v>
      </c>
      <c r="B221" s="2" t="s">
        <v>247</v>
      </c>
      <c r="C221" s="2" t="s">
        <v>986</v>
      </c>
      <c r="D221" s="2" t="s">
        <v>987</v>
      </c>
      <c r="E221" s="2">
        <v>365</v>
      </c>
      <c r="F221" s="9">
        <v>910000</v>
      </c>
      <c r="G221" s="2" t="str">
        <f>VLOOKUP(표4[[#This Row],[강사번호]],표2[],2,FALSE)</f>
        <v>김민우</v>
      </c>
    </row>
    <row r="222" spans="1:7" x14ac:dyDescent="0.3">
      <c r="A222" s="2" t="s">
        <v>988</v>
      </c>
      <c r="B222" s="2" t="s">
        <v>253</v>
      </c>
      <c r="C222" s="2" t="s">
        <v>989</v>
      </c>
      <c r="D222" s="2" t="s">
        <v>990</v>
      </c>
      <c r="E222" s="2">
        <v>30</v>
      </c>
      <c r="F222" s="9">
        <v>75000</v>
      </c>
      <c r="G222" s="2" t="str">
        <f>VLOOKUP(표4[[#This Row],[강사번호]],표2[],2,FALSE)</f>
        <v>김가연</v>
      </c>
    </row>
    <row r="223" spans="1:7" x14ac:dyDescent="0.3">
      <c r="A223" s="2" t="s">
        <v>991</v>
      </c>
      <c r="B223" s="2" t="s">
        <v>247</v>
      </c>
      <c r="C223" s="2" t="s">
        <v>992</v>
      </c>
      <c r="D223" s="2" t="s">
        <v>993</v>
      </c>
      <c r="E223" s="2">
        <v>1095</v>
      </c>
      <c r="F223" s="9">
        <v>62000</v>
      </c>
      <c r="G223" s="2" t="str">
        <f>VLOOKUP(표4[[#This Row],[강사번호]],표2[],2,FALSE)</f>
        <v>김민우</v>
      </c>
    </row>
    <row r="224" spans="1:7" x14ac:dyDescent="0.3">
      <c r="A224" s="2" t="s">
        <v>994</v>
      </c>
      <c r="B224" s="2" t="s">
        <v>259</v>
      </c>
      <c r="C224" s="2" t="s">
        <v>995</v>
      </c>
      <c r="D224" s="2" t="s">
        <v>996</v>
      </c>
      <c r="E224" s="2">
        <v>20</v>
      </c>
      <c r="F224" s="9">
        <v>84000</v>
      </c>
      <c r="G224" s="2" t="str">
        <f>VLOOKUP(표4[[#This Row],[강사번호]],표2[],2,FALSE)</f>
        <v>김연서</v>
      </c>
    </row>
    <row r="225" spans="1:7" x14ac:dyDescent="0.3">
      <c r="A225" s="2" t="s">
        <v>997</v>
      </c>
      <c r="B225" s="2" t="s">
        <v>253</v>
      </c>
      <c r="C225" s="2" t="s">
        <v>998</v>
      </c>
      <c r="D225" s="2" t="s">
        <v>999</v>
      </c>
      <c r="E225" s="2">
        <v>60</v>
      </c>
      <c r="F225" s="9">
        <v>700000</v>
      </c>
      <c r="G225" s="2" t="str">
        <f>VLOOKUP(표4[[#This Row],[강사번호]],표2[],2,FALSE)</f>
        <v>김가연</v>
      </c>
    </row>
    <row r="226" spans="1:7" x14ac:dyDescent="0.3">
      <c r="A226" s="2" t="s">
        <v>1000</v>
      </c>
      <c r="B226" s="2" t="s">
        <v>247</v>
      </c>
      <c r="C226" s="2" t="s">
        <v>1001</v>
      </c>
      <c r="D226" s="2" t="s">
        <v>1002</v>
      </c>
      <c r="E226" s="2">
        <v>365</v>
      </c>
      <c r="F226" s="9">
        <v>94000</v>
      </c>
      <c r="G226" s="2" t="str">
        <f>VLOOKUP(표4[[#This Row],[강사번호]],표2[],2,FALSE)</f>
        <v>김민우</v>
      </c>
    </row>
    <row r="227" spans="1:7" x14ac:dyDescent="0.3">
      <c r="A227" s="2" t="s">
        <v>1003</v>
      </c>
      <c r="B227" s="2" t="s">
        <v>271</v>
      </c>
      <c r="C227" s="2" t="s">
        <v>1004</v>
      </c>
      <c r="D227" s="2" t="s">
        <v>1005</v>
      </c>
      <c r="E227" s="2">
        <v>60</v>
      </c>
      <c r="F227" s="9">
        <v>64000</v>
      </c>
      <c r="G227" s="2" t="str">
        <f>VLOOKUP(표4[[#This Row],[강사번호]],표2[],2,FALSE)</f>
        <v>이지민</v>
      </c>
    </row>
    <row r="228" spans="1:7" x14ac:dyDescent="0.3">
      <c r="A228" s="2" t="s">
        <v>1006</v>
      </c>
      <c r="B228" s="2" t="s">
        <v>265</v>
      </c>
      <c r="C228" s="2" t="s">
        <v>1007</v>
      </c>
      <c r="D228" s="2" t="s">
        <v>1008</v>
      </c>
      <c r="E228" s="2">
        <v>730</v>
      </c>
      <c r="F228" s="9">
        <v>92000</v>
      </c>
      <c r="G228" s="2" t="str">
        <f>VLOOKUP(표4[[#This Row],[강사번호]],표2[],2,FALSE)</f>
        <v>강서예</v>
      </c>
    </row>
    <row r="229" spans="1:7" x14ac:dyDescent="0.3">
      <c r="A229" s="2" t="s">
        <v>1009</v>
      </c>
      <c r="B229" s="2" t="s">
        <v>265</v>
      </c>
      <c r="C229" s="2" t="s">
        <v>1010</v>
      </c>
      <c r="D229" s="2" t="s">
        <v>1011</v>
      </c>
      <c r="E229" s="2">
        <v>365</v>
      </c>
      <c r="F229" s="9">
        <v>74000</v>
      </c>
      <c r="G229" s="2" t="str">
        <f>VLOOKUP(표4[[#This Row],[강사번호]],표2[],2,FALSE)</f>
        <v>강서예</v>
      </c>
    </row>
    <row r="230" spans="1:7" x14ac:dyDescent="0.3">
      <c r="A230" s="2" t="s">
        <v>1012</v>
      </c>
      <c r="B230" s="2" t="s">
        <v>277</v>
      </c>
      <c r="C230" s="2" t="s">
        <v>1013</v>
      </c>
      <c r="D230" s="2" t="s">
        <v>1014</v>
      </c>
      <c r="E230" s="2">
        <v>20</v>
      </c>
      <c r="F230" s="9">
        <v>65000</v>
      </c>
      <c r="G230" s="2" t="str">
        <f>VLOOKUP(표4[[#This Row],[강사번호]],표2[],2,FALSE)</f>
        <v>구민재</v>
      </c>
    </row>
    <row r="231" spans="1:7" x14ac:dyDescent="0.3">
      <c r="A231" s="2" t="s">
        <v>1015</v>
      </c>
      <c r="B231" s="2" t="s">
        <v>277</v>
      </c>
      <c r="C231" s="2" t="s">
        <v>1016</v>
      </c>
      <c r="D231" s="2" t="s">
        <v>1017</v>
      </c>
      <c r="E231" s="2">
        <v>15</v>
      </c>
      <c r="F231" s="9">
        <v>89000</v>
      </c>
      <c r="G231" s="2" t="str">
        <f>VLOOKUP(표4[[#This Row],[강사번호]],표2[],2,FALSE)</f>
        <v>구민재</v>
      </c>
    </row>
    <row r="232" spans="1:7" x14ac:dyDescent="0.3">
      <c r="A232" s="2" t="s">
        <v>1018</v>
      </c>
      <c r="B232" s="2" t="s">
        <v>277</v>
      </c>
      <c r="C232" s="2" t="s">
        <v>1019</v>
      </c>
      <c r="D232" s="2" t="s">
        <v>1020</v>
      </c>
      <c r="E232" s="2">
        <v>28</v>
      </c>
      <c r="F232" s="9">
        <v>123000</v>
      </c>
      <c r="G232" s="2" t="str">
        <f>VLOOKUP(표4[[#This Row],[강사번호]],표2[],2,FALSE)</f>
        <v>구민재</v>
      </c>
    </row>
    <row r="233" spans="1:7" x14ac:dyDescent="0.3">
      <c r="A233" s="2" t="s">
        <v>1021</v>
      </c>
      <c r="B233" s="2" t="s">
        <v>265</v>
      </c>
      <c r="C233" s="2" t="s">
        <v>1022</v>
      </c>
      <c r="D233" s="2" t="s">
        <v>1023</v>
      </c>
      <c r="E233" s="2">
        <v>365</v>
      </c>
      <c r="F233" s="9">
        <v>35000</v>
      </c>
      <c r="G233" s="2" t="str">
        <f>VLOOKUP(표4[[#This Row],[강사번호]],표2[],2,FALSE)</f>
        <v>강서예</v>
      </c>
    </row>
    <row r="234" spans="1:7" x14ac:dyDescent="0.3">
      <c r="A234" s="2" t="s">
        <v>1024</v>
      </c>
      <c r="B234" s="2" t="s">
        <v>271</v>
      </c>
      <c r="C234" s="2" t="s">
        <v>1025</v>
      </c>
      <c r="D234" s="2" t="s">
        <v>1026</v>
      </c>
      <c r="E234" s="2">
        <v>60</v>
      </c>
      <c r="F234" s="9">
        <v>45000</v>
      </c>
      <c r="G234" s="2" t="str">
        <f>VLOOKUP(표4[[#This Row],[강사번호]],표2[],2,FALSE)</f>
        <v>이지민</v>
      </c>
    </row>
    <row r="235" spans="1:7" x14ac:dyDescent="0.3">
      <c r="A235" s="2" t="s">
        <v>1027</v>
      </c>
      <c r="B235" s="2" t="s">
        <v>265</v>
      </c>
      <c r="C235" s="2" t="s">
        <v>1028</v>
      </c>
      <c r="D235" s="2" t="s">
        <v>1029</v>
      </c>
      <c r="E235" s="2">
        <v>730</v>
      </c>
      <c r="F235" s="9">
        <v>95000</v>
      </c>
      <c r="G235" s="2" t="str">
        <f>VLOOKUP(표4[[#This Row],[강사번호]],표2[],2,FALSE)</f>
        <v>강서예</v>
      </c>
    </row>
    <row r="236" spans="1:7" x14ac:dyDescent="0.3">
      <c r="A236" s="2" t="s">
        <v>1030</v>
      </c>
      <c r="B236" s="2" t="s">
        <v>277</v>
      </c>
      <c r="C236" s="2" t="s">
        <v>1031</v>
      </c>
      <c r="D236" s="2" t="s">
        <v>1032</v>
      </c>
      <c r="E236" s="2">
        <v>20</v>
      </c>
      <c r="F236" s="9">
        <v>64000</v>
      </c>
      <c r="G236" s="2" t="str">
        <f>VLOOKUP(표4[[#This Row],[강사번호]],표2[],2,FALSE)</f>
        <v>구민재</v>
      </c>
    </row>
    <row r="237" spans="1:7" x14ac:dyDescent="0.3">
      <c r="A237" s="2" t="s">
        <v>1033</v>
      </c>
      <c r="B237" s="2" t="s">
        <v>271</v>
      </c>
      <c r="C237" s="2" t="s">
        <v>1034</v>
      </c>
      <c r="D237" s="2" t="s">
        <v>1035</v>
      </c>
      <c r="E237" s="2">
        <v>60</v>
      </c>
      <c r="F237" s="9">
        <v>78000</v>
      </c>
      <c r="G237" s="2" t="str">
        <f>VLOOKUP(표4[[#This Row],[강사번호]],표2[],2,FALSE)</f>
        <v>이지민</v>
      </c>
    </row>
    <row r="238" spans="1:7" x14ac:dyDescent="0.3">
      <c r="A238" s="2" t="s">
        <v>1036</v>
      </c>
      <c r="B238" s="2" t="s">
        <v>271</v>
      </c>
      <c r="C238" s="2" t="s">
        <v>1037</v>
      </c>
      <c r="D238" s="2" t="s">
        <v>1038</v>
      </c>
      <c r="E238" s="2">
        <v>120</v>
      </c>
      <c r="F238" s="9">
        <v>35000</v>
      </c>
      <c r="G238" s="2" t="str">
        <f>VLOOKUP(표4[[#This Row],[강사번호]],표2[],2,FALSE)</f>
        <v>이지민</v>
      </c>
    </row>
    <row r="239" spans="1:7" x14ac:dyDescent="0.3">
      <c r="A239" s="2" t="s">
        <v>1039</v>
      </c>
      <c r="B239" s="2" t="s">
        <v>265</v>
      </c>
      <c r="C239" s="2" t="s">
        <v>1040</v>
      </c>
      <c r="D239" s="2" t="s">
        <v>1041</v>
      </c>
      <c r="E239" s="2">
        <v>365</v>
      </c>
      <c r="F239" s="9">
        <v>37000</v>
      </c>
      <c r="G239" s="2" t="str">
        <f>VLOOKUP(표4[[#This Row],[강사번호]],표2[],2,FALSE)</f>
        <v>강서예</v>
      </c>
    </row>
    <row r="240" spans="1:7" x14ac:dyDescent="0.3">
      <c r="A240" s="2" t="s">
        <v>1042</v>
      </c>
      <c r="B240" s="2" t="s">
        <v>265</v>
      </c>
      <c r="C240" s="2" t="s">
        <v>1043</v>
      </c>
      <c r="D240" s="2" t="s">
        <v>1044</v>
      </c>
      <c r="E240" s="2">
        <v>730</v>
      </c>
      <c r="F240" s="9">
        <v>95000</v>
      </c>
      <c r="G240" s="2" t="str">
        <f>VLOOKUP(표4[[#This Row],[강사번호]],표2[],2,FALSE)</f>
        <v>강서예</v>
      </c>
    </row>
    <row r="241" spans="1:7" x14ac:dyDescent="0.3">
      <c r="A241" s="2" t="s">
        <v>1045</v>
      </c>
      <c r="B241" s="2" t="s">
        <v>271</v>
      </c>
      <c r="C241" s="2" t="s">
        <v>1046</v>
      </c>
      <c r="D241" s="2" t="s">
        <v>1047</v>
      </c>
      <c r="E241" s="2">
        <v>60</v>
      </c>
      <c r="F241" s="9">
        <v>64000</v>
      </c>
      <c r="G241" s="2" t="str">
        <f>VLOOKUP(표4[[#This Row],[강사번호]],표2[],2,FALSE)</f>
        <v>이지민</v>
      </c>
    </row>
    <row r="242" spans="1:7" x14ac:dyDescent="0.3">
      <c r="A242" s="2" t="s">
        <v>1048</v>
      </c>
      <c r="B242" s="2" t="s">
        <v>265</v>
      </c>
      <c r="C242" s="2" t="s">
        <v>1049</v>
      </c>
      <c r="D242" s="2" t="s">
        <v>1050</v>
      </c>
      <c r="E242" s="2">
        <v>1095</v>
      </c>
      <c r="F242" s="9">
        <v>51000</v>
      </c>
      <c r="G242" s="2" t="str">
        <f>VLOOKUP(표4[[#This Row],[강사번호]],표2[],2,FALSE)</f>
        <v>강서예</v>
      </c>
    </row>
    <row r="243" spans="1:7" x14ac:dyDescent="0.3">
      <c r="A243" s="2" t="s">
        <v>1051</v>
      </c>
      <c r="B243" s="2" t="s">
        <v>265</v>
      </c>
      <c r="C243" s="2" t="s">
        <v>1052</v>
      </c>
      <c r="D243" s="2" t="s">
        <v>1053</v>
      </c>
      <c r="E243" s="2">
        <v>730</v>
      </c>
      <c r="F243" s="9">
        <v>75000</v>
      </c>
      <c r="G243" s="2" t="str">
        <f>VLOOKUP(표4[[#This Row],[강사번호]],표2[],2,FALSE)</f>
        <v>강서예</v>
      </c>
    </row>
    <row r="244" spans="1:7" x14ac:dyDescent="0.3">
      <c r="A244" s="2" t="s">
        <v>1054</v>
      </c>
      <c r="B244" s="2" t="s">
        <v>271</v>
      </c>
      <c r="C244" s="2" t="s">
        <v>1055</v>
      </c>
      <c r="D244" s="2" t="s">
        <v>1056</v>
      </c>
      <c r="E244" s="2">
        <v>60</v>
      </c>
      <c r="F244" s="9">
        <v>98000</v>
      </c>
      <c r="G244" s="2" t="str">
        <f>VLOOKUP(표4[[#This Row],[강사번호]],표2[],2,FALSE)</f>
        <v>이지민</v>
      </c>
    </row>
    <row r="245" spans="1:7" x14ac:dyDescent="0.3">
      <c r="A245" s="2" t="s">
        <v>1057</v>
      </c>
      <c r="B245" s="2" t="s">
        <v>265</v>
      </c>
      <c r="C245" s="2" t="s">
        <v>1058</v>
      </c>
      <c r="D245" s="2" t="s">
        <v>1059</v>
      </c>
      <c r="E245" s="2">
        <v>365</v>
      </c>
      <c r="F245" s="9">
        <v>65000</v>
      </c>
      <c r="G245" s="2" t="str">
        <f>VLOOKUP(표4[[#This Row],[강사번호]],표2[],2,FALSE)</f>
        <v>강서예</v>
      </c>
    </row>
    <row r="246" spans="1:7" x14ac:dyDescent="0.3">
      <c r="A246" s="2" t="s">
        <v>1060</v>
      </c>
      <c r="B246" s="2" t="s">
        <v>277</v>
      </c>
      <c r="C246" s="2" t="s">
        <v>1061</v>
      </c>
      <c r="D246" s="2" t="s">
        <v>1062</v>
      </c>
      <c r="E246" s="2">
        <v>20</v>
      </c>
      <c r="F246" s="9">
        <v>35000</v>
      </c>
      <c r="G246" s="2" t="str">
        <f>VLOOKUP(표4[[#This Row],[강사번호]],표2[],2,FALSE)</f>
        <v>구민재</v>
      </c>
    </row>
    <row r="247" spans="1:7" x14ac:dyDescent="0.3">
      <c r="A247" s="2" t="s">
        <v>1063</v>
      </c>
      <c r="B247" s="2" t="s">
        <v>271</v>
      </c>
      <c r="C247" s="2" t="s">
        <v>1064</v>
      </c>
      <c r="D247" s="2" t="s">
        <v>1065</v>
      </c>
      <c r="E247" s="2">
        <v>15</v>
      </c>
      <c r="F247" s="9">
        <v>75000</v>
      </c>
      <c r="G247" s="2" t="str">
        <f>VLOOKUP(표4[[#This Row],[강사번호]],표2[],2,FALSE)</f>
        <v>이지민</v>
      </c>
    </row>
    <row r="248" spans="1:7" x14ac:dyDescent="0.3">
      <c r="A248" s="2" t="s">
        <v>1066</v>
      </c>
      <c r="B248" s="2" t="s">
        <v>277</v>
      </c>
      <c r="C248" s="2" t="s">
        <v>1067</v>
      </c>
      <c r="D248" s="2" t="s">
        <v>1068</v>
      </c>
      <c r="E248" s="2">
        <v>30</v>
      </c>
      <c r="F248" s="9">
        <v>48000</v>
      </c>
      <c r="G248" s="2" t="str">
        <f>VLOOKUP(표4[[#This Row],[강사번호]],표2[],2,FALSE)</f>
        <v>구민재</v>
      </c>
    </row>
    <row r="249" spans="1:7" x14ac:dyDescent="0.3">
      <c r="A249" s="2" t="s">
        <v>1069</v>
      </c>
      <c r="B249" s="2" t="s">
        <v>265</v>
      </c>
      <c r="C249" s="2" t="s">
        <v>1070</v>
      </c>
      <c r="D249" s="2" t="s">
        <v>1071</v>
      </c>
      <c r="E249" s="2">
        <v>21</v>
      </c>
      <c r="F249" s="9">
        <v>68000</v>
      </c>
      <c r="G249" s="2" t="str">
        <f>VLOOKUP(표4[[#This Row],[강사번호]],표2[],2,FALSE)</f>
        <v>강서예</v>
      </c>
    </row>
    <row r="250" spans="1:7" x14ac:dyDescent="0.3">
      <c r="A250" s="2" t="s">
        <v>1072</v>
      </c>
      <c r="B250" s="2" t="s">
        <v>271</v>
      </c>
      <c r="C250" s="2" t="s">
        <v>1073</v>
      </c>
      <c r="D250" s="2" t="s">
        <v>1074</v>
      </c>
      <c r="E250" s="2">
        <v>60</v>
      </c>
      <c r="F250" s="9">
        <v>787000</v>
      </c>
      <c r="G250" s="2" t="str">
        <f>VLOOKUP(표4[[#This Row],[강사번호]],표2[],2,FALSE)</f>
        <v>이지민</v>
      </c>
    </row>
    <row r="251" spans="1:7" x14ac:dyDescent="0.3">
      <c r="A251" s="2" t="s">
        <v>1075</v>
      </c>
      <c r="B251" s="2" t="s">
        <v>271</v>
      </c>
      <c r="C251" s="2" t="s">
        <v>1076</v>
      </c>
      <c r="D251" s="2" t="s">
        <v>1077</v>
      </c>
      <c r="E251" s="2">
        <v>90</v>
      </c>
      <c r="F251" s="9">
        <v>68000</v>
      </c>
      <c r="G251" s="2" t="str">
        <f>VLOOKUP(표4[[#This Row],[강사번호]],표2[],2,FALSE)</f>
        <v>이지민</v>
      </c>
    </row>
    <row r="252" spans="1:7" x14ac:dyDescent="0.3">
      <c r="A252" s="2" t="s">
        <v>1078</v>
      </c>
      <c r="B252" s="2" t="s">
        <v>265</v>
      </c>
      <c r="C252" s="2" t="s">
        <v>1079</v>
      </c>
      <c r="D252" s="2" t="s">
        <v>1080</v>
      </c>
      <c r="E252" s="2">
        <v>365</v>
      </c>
      <c r="F252" s="9">
        <v>45000</v>
      </c>
      <c r="G252" s="2" t="str">
        <f>VLOOKUP(표4[[#This Row],[강사번호]],표2[],2,FALSE)</f>
        <v>강서예</v>
      </c>
    </row>
    <row r="253" spans="1:7" x14ac:dyDescent="0.3">
      <c r="A253" s="2" t="s">
        <v>1081</v>
      </c>
      <c r="B253" s="2" t="s">
        <v>277</v>
      </c>
      <c r="C253" s="2" t="s">
        <v>1082</v>
      </c>
      <c r="D253" s="2" t="s">
        <v>1083</v>
      </c>
      <c r="E253" s="2">
        <v>30</v>
      </c>
      <c r="F253" s="9">
        <v>91000</v>
      </c>
      <c r="G253" s="2" t="str">
        <f>VLOOKUP(표4[[#This Row],[강사번호]],표2[],2,FALSE)</f>
        <v>구민재</v>
      </c>
    </row>
    <row r="254" spans="1:7" x14ac:dyDescent="0.3">
      <c r="A254" s="2" t="s">
        <v>1084</v>
      </c>
      <c r="B254" s="2" t="s">
        <v>277</v>
      </c>
      <c r="C254" s="2" t="s">
        <v>1085</v>
      </c>
      <c r="D254" s="2" t="s">
        <v>1086</v>
      </c>
      <c r="E254" s="2">
        <v>20</v>
      </c>
      <c r="F254" s="9">
        <v>75000</v>
      </c>
      <c r="G254" s="2" t="str">
        <f>VLOOKUP(표4[[#This Row],[강사번호]],표2[],2,FALSE)</f>
        <v>구민재</v>
      </c>
    </row>
    <row r="255" spans="1:7" x14ac:dyDescent="0.3">
      <c r="A255" s="2" t="s">
        <v>1087</v>
      </c>
      <c r="B255" s="2" t="s">
        <v>265</v>
      </c>
      <c r="C255" s="2" t="s">
        <v>1088</v>
      </c>
      <c r="D255" s="2" t="s">
        <v>1089</v>
      </c>
      <c r="E255" s="2">
        <v>365</v>
      </c>
      <c r="F255" s="9">
        <v>67000</v>
      </c>
      <c r="G255" s="2" t="str">
        <f>VLOOKUP(표4[[#This Row],[강사번호]],표2[],2,FALSE)</f>
        <v>강서예</v>
      </c>
    </row>
    <row r="256" spans="1:7" x14ac:dyDescent="0.3">
      <c r="A256" s="2" t="s">
        <v>1090</v>
      </c>
      <c r="B256" s="2" t="s">
        <v>265</v>
      </c>
      <c r="C256" s="2" t="s">
        <v>1091</v>
      </c>
      <c r="D256" s="2" t="s">
        <v>1092</v>
      </c>
      <c r="E256" s="2">
        <v>730</v>
      </c>
      <c r="F256" s="9">
        <v>98000</v>
      </c>
      <c r="G256" s="2" t="str">
        <f>VLOOKUP(표4[[#This Row],[강사번호]],표2[],2,FALSE)</f>
        <v>강서예</v>
      </c>
    </row>
    <row r="257" spans="1:7" x14ac:dyDescent="0.3">
      <c r="A257" s="2" t="s">
        <v>1093</v>
      </c>
      <c r="B257" s="2" t="s">
        <v>271</v>
      </c>
      <c r="C257" s="2" t="s">
        <v>1094</v>
      </c>
      <c r="D257" s="2" t="s">
        <v>1095</v>
      </c>
      <c r="E257" s="2">
        <v>60</v>
      </c>
      <c r="F257" s="9">
        <v>415000</v>
      </c>
      <c r="G257" s="2" t="str">
        <f>VLOOKUP(표4[[#This Row],[강사번호]],표2[],2,FALSE)</f>
        <v>이지민</v>
      </c>
    </row>
    <row r="258" spans="1:7" x14ac:dyDescent="0.3">
      <c r="A258" s="2" t="s">
        <v>1096</v>
      </c>
      <c r="B258" s="2" t="s">
        <v>265</v>
      </c>
      <c r="C258" s="2" t="s">
        <v>1097</v>
      </c>
      <c r="D258" s="2" t="s">
        <v>1098</v>
      </c>
      <c r="E258" s="2">
        <v>365</v>
      </c>
      <c r="F258" s="9">
        <v>48000</v>
      </c>
      <c r="G258" s="2" t="str">
        <f>VLOOKUP(표4[[#This Row],[강사번호]],표2[],2,FALSE)</f>
        <v>강서예</v>
      </c>
    </row>
    <row r="259" spans="1:7" x14ac:dyDescent="0.3">
      <c r="A259" s="2" t="s">
        <v>1099</v>
      </c>
      <c r="B259" s="2" t="s">
        <v>277</v>
      </c>
      <c r="C259" s="2" t="s">
        <v>1100</v>
      </c>
      <c r="D259" s="2" t="s">
        <v>1101</v>
      </c>
      <c r="E259" s="2">
        <v>20</v>
      </c>
      <c r="F259" s="9">
        <v>35000</v>
      </c>
      <c r="G259" s="2" t="str">
        <f>VLOOKUP(표4[[#This Row],[강사번호]],표2[],2,FALSE)</f>
        <v>구민재</v>
      </c>
    </row>
    <row r="260" spans="1:7" x14ac:dyDescent="0.3">
      <c r="A260" s="2" t="s">
        <v>1102</v>
      </c>
      <c r="B260" s="2" t="s">
        <v>265</v>
      </c>
      <c r="C260" s="2" t="s">
        <v>1103</v>
      </c>
      <c r="D260" s="2" t="s">
        <v>1104</v>
      </c>
      <c r="E260" s="2">
        <v>1095</v>
      </c>
      <c r="F260" s="9">
        <v>78000</v>
      </c>
      <c r="G260" s="2" t="str">
        <f>VLOOKUP(표4[[#This Row],[강사번호]],표2[],2,FALSE)</f>
        <v>강서예</v>
      </c>
    </row>
    <row r="261" spans="1:7" x14ac:dyDescent="0.3">
      <c r="A261" s="2" t="s">
        <v>1105</v>
      </c>
      <c r="B261" s="2" t="s">
        <v>271</v>
      </c>
      <c r="C261" s="2" t="s">
        <v>1106</v>
      </c>
      <c r="D261" s="2" t="s">
        <v>1107</v>
      </c>
      <c r="E261" s="2">
        <v>30</v>
      </c>
      <c r="F261" s="9">
        <v>45000</v>
      </c>
      <c r="G261" s="2" t="str">
        <f>VLOOKUP(표4[[#This Row],[강사번호]],표2[],2,FALSE)</f>
        <v>이지민</v>
      </c>
    </row>
    <row r="262" spans="1:7" x14ac:dyDescent="0.3">
      <c r="A262" s="2" t="s">
        <v>1108</v>
      </c>
      <c r="B262" s="2" t="s">
        <v>271</v>
      </c>
      <c r="C262" s="2" t="s">
        <v>1109</v>
      </c>
      <c r="D262" s="2" t="s">
        <v>1110</v>
      </c>
      <c r="E262" s="2">
        <v>60</v>
      </c>
      <c r="F262" s="9">
        <v>65000</v>
      </c>
      <c r="G262" s="2" t="str">
        <f>VLOOKUP(표4[[#This Row],[강사번호]],표2[],2,FALSE)</f>
        <v>이지민</v>
      </c>
    </row>
    <row r="263" spans="1:7" x14ac:dyDescent="0.3">
      <c r="A263" s="2" t="s">
        <v>1111</v>
      </c>
      <c r="B263" s="2" t="s">
        <v>277</v>
      </c>
      <c r="C263" s="2" t="s">
        <v>1112</v>
      </c>
      <c r="D263" s="2" t="s">
        <v>1113</v>
      </c>
      <c r="E263" s="2">
        <v>25</v>
      </c>
      <c r="F263" s="9">
        <v>76000</v>
      </c>
      <c r="G263" s="2" t="str">
        <f>VLOOKUP(표4[[#This Row],[강사번호]],표2[],2,FALSE)</f>
        <v>구민재</v>
      </c>
    </row>
    <row r="264" spans="1:7" x14ac:dyDescent="0.3">
      <c r="A264" s="2" t="s">
        <v>1114</v>
      </c>
      <c r="B264" s="2" t="s">
        <v>277</v>
      </c>
      <c r="C264" s="2" t="s">
        <v>1115</v>
      </c>
      <c r="D264" s="2" t="s">
        <v>1116</v>
      </c>
      <c r="E264" s="2">
        <v>15</v>
      </c>
      <c r="F264" s="9">
        <v>37000</v>
      </c>
      <c r="G264" s="2" t="str">
        <f>VLOOKUP(표4[[#This Row],[강사번호]],표2[],2,FALSE)</f>
        <v>구민재</v>
      </c>
    </row>
    <row r="265" spans="1:7" x14ac:dyDescent="0.3">
      <c r="A265" s="2" t="s">
        <v>1117</v>
      </c>
      <c r="B265" s="2" t="s">
        <v>277</v>
      </c>
      <c r="C265" s="2" t="s">
        <v>1118</v>
      </c>
      <c r="D265" s="2" t="s">
        <v>1119</v>
      </c>
      <c r="E265" s="2">
        <v>10</v>
      </c>
      <c r="F265" s="9">
        <v>190000</v>
      </c>
      <c r="G265" s="2" t="str">
        <f>VLOOKUP(표4[[#This Row],[강사번호]],표2[],2,FALSE)</f>
        <v>구민재</v>
      </c>
    </row>
    <row r="266" spans="1:7" x14ac:dyDescent="0.3">
      <c r="A266" s="2" t="s">
        <v>1120</v>
      </c>
      <c r="B266" s="2" t="s">
        <v>271</v>
      </c>
      <c r="C266" s="2" t="s">
        <v>1121</v>
      </c>
      <c r="D266" s="2" t="s">
        <v>1122</v>
      </c>
      <c r="E266" s="2">
        <v>90</v>
      </c>
      <c r="F266" s="9">
        <v>1800000</v>
      </c>
      <c r="G266" s="2" t="str">
        <f>VLOOKUP(표4[[#This Row],[강사번호]],표2[],2,FALSE)</f>
        <v>이지민</v>
      </c>
    </row>
    <row r="267" spans="1:7" x14ac:dyDescent="0.3">
      <c r="A267" s="2" t="s">
        <v>1123</v>
      </c>
      <c r="B267" s="2" t="s">
        <v>271</v>
      </c>
      <c r="C267" s="2" t="s">
        <v>1124</v>
      </c>
      <c r="D267" s="2" t="s">
        <v>1125</v>
      </c>
      <c r="E267" s="2">
        <v>60</v>
      </c>
      <c r="F267" s="9">
        <v>150000</v>
      </c>
      <c r="G267" s="2" t="str">
        <f>VLOOKUP(표4[[#This Row],[강사번호]],표2[],2,FALSE)</f>
        <v>이지민</v>
      </c>
    </row>
    <row r="268" spans="1:7" x14ac:dyDescent="0.3">
      <c r="A268" s="2" t="s">
        <v>1126</v>
      </c>
      <c r="B268" s="2" t="s">
        <v>271</v>
      </c>
      <c r="C268" s="2" t="s">
        <v>1127</v>
      </c>
      <c r="D268" s="2" t="s">
        <v>1128</v>
      </c>
      <c r="E268" s="2">
        <v>120</v>
      </c>
      <c r="F268" s="9">
        <v>78000</v>
      </c>
      <c r="G268" s="2" t="str">
        <f>VLOOKUP(표4[[#This Row],[강사번호]],표2[],2,FALSE)</f>
        <v>이지민</v>
      </c>
    </row>
    <row r="269" spans="1:7" x14ac:dyDescent="0.3">
      <c r="A269" s="2" t="s">
        <v>1129</v>
      </c>
      <c r="B269" s="2" t="s">
        <v>277</v>
      </c>
      <c r="C269" s="2" t="s">
        <v>1130</v>
      </c>
      <c r="D269" s="2" t="s">
        <v>1131</v>
      </c>
      <c r="E269" s="2">
        <v>15</v>
      </c>
      <c r="F269" s="9">
        <v>150000</v>
      </c>
      <c r="G269" s="2" t="str">
        <f>VLOOKUP(표4[[#This Row],[강사번호]],표2[],2,FALSE)</f>
        <v>구민재</v>
      </c>
    </row>
    <row r="270" spans="1:7" x14ac:dyDescent="0.3">
      <c r="A270" s="2" t="s">
        <v>1132</v>
      </c>
      <c r="B270" s="2" t="s">
        <v>265</v>
      </c>
      <c r="C270" s="2" t="s">
        <v>1133</v>
      </c>
      <c r="D270" s="2" t="s">
        <v>1134</v>
      </c>
      <c r="E270" s="2">
        <v>365</v>
      </c>
      <c r="F270" s="9">
        <v>365000</v>
      </c>
      <c r="G270" s="2" t="str">
        <f>VLOOKUP(표4[[#This Row],[강사번호]],표2[],2,FALSE)</f>
        <v>강서예</v>
      </c>
    </row>
    <row r="271" spans="1:7" x14ac:dyDescent="0.3">
      <c r="A271" s="2" t="s">
        <v>1135</v>
      </c>
      <c r="B271" s="2" t="s">
        <v>265</v>
      </c>
      <c r="C271" s="2" t="s">
        <v>1136</v>
      </c>
      <c r="D271" s="2" t="s">
        <v>1137</v>
      </c>
      <c r="E271" s="2">
        <v>730</v>
      </c>
      <c r="F271" s="9">
        <v>6000000</v>
      </c>
      <c r="G271" s="2" t="str">
        <f>VLOOKUP(표4[[#This Row],[강사번호]],표2[],2,FALSE)</f>
        <v>강서예</v>
      </c>
    </row>
    <row r="272" spans="1:7" x14ac:dyDescent="0.3">
      <c r="A272" s="2" t="s">
        <v>1138</v>
      </c>
      <c r="B272" s="2" t="s">
        <v>295</v>
      </c>
      <c r="C272" s="2" t="s">
        <v>1139</v>
      </c>
      <c r="D272" s="2" t="s">
        <v>1140</v>
      </c>
      <c r="E272" s="2">
        <v>20</v>
      </c>
      <c r="F272" s="9">
        <v>150000</v>
      </c>
      <c r="G272" s="2" t="str">
        <f>VLOOKUP(표4[[#This Row],[강사번호]],표2[],2,FALSE)</f>
        <v>강인성</v>
      </c>
    </row>
    <row r="273" spans="1:7" x14ac:dyDescent="0.3">
      <c r="A273" s="2" t="s">
        <v>1141</v>
      </c>
      <c r="B273" s="2" t="s">
        <v>295</v>
      </c>
      <c r="C273" s="2" t="s">
        <v>1142</v>
      </c>
      <c r="D273" s="2" t="s">
        <v>1143</v>
      </c>
      <c r="E273" s="2">
        <v>15</v>
      </c>
      <c r="F273" s="9">
        <v>76000</v>
      </c>
      <c r="G273" s="2" t="str">
        <f>VLOOKUP(표4[[#This Row],[강사번호]],표2[],2,FALSE)</f>
        <v>강인성</v>
      </c>
    </row>
    <row r="274" spans="1:7" x14ac:dyDescent="0.3">
      <c r="A274" s="2" t="s">
        <v>1144</v>
      </c>
      <c r="B274" s="2" t="s">
        <v>283</v>
      </c>
      <c r="C274" s="2" t="s">
        <v>1145</v>
      </c>
      <c r="D274" s="2" t="s">
        <v>1146</v>
      </c>
      <c r="E274" s="2">
        <v>365</v>
      </c>
      <c r="F274" s="9">
        <v>952000</v>
      </c>
      <c r="G274" s="2" t="str">
        <f>VLOOKUP(표4[[#This Row],[강사번호]],표2[],2,FALSE)</f>
        <v>김민정</v>
      </c>
    </row>
    <row r="275" spans="1:7" x14ac:dyDescent="0.3">
      <c r="A275" s="2" t="s">
        <v>1147</v>
      </c>
      <c r="B275" s="2" t="s">
        <v>289</v>
      </c>
      <c r="C275" s="2" t="s">
        <v>1148</v>
      </c>
      <c r="D275" s="2" t="s">
        <v>1149</v>
      </c>
      <c r="E275" s="2">
        <v>20</v>
      </c>
      <c r="F275" s="9">
        <v>15000</v>
      </c>
      <c r="G275" s="2" t="str">
        <f>VLOOKUP(표4[[#This Row],[강사번호]],표2[],2,FALSE)</f>
        <v>이영선</v>
      </c>
    </row>
    <row r="276" spans="1:7" x14ac:dyDescent="0.3">
      <c r="A276" s="2" t="s">
        <v>1150</v>
      </c>
      <c r="B276" s="2" t="s">
        <v>295</v>
      </c>
      <c r="C276" s="2" t="s">
        <v>1151</v>
      </c>
      <c r="D276" s="2" t="s">
        <v>1152</v>
      </c>
      <c r="E276" s="2">
        <v>10</v>
      </c>
      <c r="F276" s="9">
        <v>610000</v>
      </c>
      <c r="G276" s="2" t="str">
        <f>VLOOKUP(표4[[#This Row],[강사번호]],표2[],2,FALSE)</f>
        <v>강인성</v>
      </c>
    </row>
    <row r="277" spans="1:7" x14ac:dyDescent="0.3">
      <c r="A277" s="2" t="s">
        <v>1153</v>
      </c>
      <c r="B277" s="2" t="s">
        <v>289</v>
      </c>
      <c r="C277" s="2" t="s">
        <v>1154</v>
      </c>
      <c r="D277" s="2" t="s">
        <v>1155</v>
      </c>
      <c r="E277" s="2">
        <v>60</v>
      </c>
      <c r="F277" s="9">
        <v>76000</v>
      </c>
      <c r="G277" s="2" t="str">
        <f>VLOOKUP(표4[[#This Row],[강사번호]],표2[],2,FALSE)</f>
        <v>이영선</v>
      </c>
    </row>
    <row r="278" spans="1:7" x14ac:dyDescent="0.3">
      <c r="A278" s="2" t="s">
        <v>1156</v>
      </c>
      <c r="B278" s="2" t="s">
        <v>283</v>
      </c>
      <c r="C278" s="2" t="s">
        <v>1157</v>
      </c>
      <c r="D278" s="2" t="s">
        <v>1158</v>
      </c>
      <c r="E278" s="2">
        <v>365</v>
      </c>
      <c r="F278" s="9">
        <v>35000</v>
      </c>
      <c r="G278" s="2" t="str">
        <f>VLOOKUP(표4[[#This Row],[강사번호]],표2[],2,FALSE)</f>
        <v>김민정</v>
      </c>
    </row>
    <row r="279" spans="1:7" x14ac:dyDescent="0.3">
      <c r="A279" s="2" t="s">
        <v>1159</v>
      </c>
      <c r="B279" s="2" t="s">
        <v>289</v>
      </c>
      <c r="C279" s="2" t="s">
        <v>1160</v>
      </c>
      <c r="D279" s="2" t="s">
        <v>1161</v>
      </c>
      <c r="E279" s="2">
        <v>60</v>
      </c>
      <c r="F279" s="9">
        <v>15000</v>
      </c>
      <c r="G279" s="2" t="str">
        <f>VLOOKUP(표4[[#This Row],[강사번호]],표2[],2,FALSE)</f>
        <v>이영선</v>
      </c>
    </row>
    <row r="280" spans="1:7" x14ac:dyDescent="0.3">
      <c r="A280" s="2" t="s">
        <v>1162</v>
      </c>
      <c r="B280" s="2" t="s">
        <v>295</v>
      </c>
      <c r="C280" s="2" t="s">
        <v>1163</v>
      </c>
      <c r="D280" s="2" t="s">
        <v>1164</v>
      </c>
      <c r="E280" s="2">
        <v>20</v>
      </c>
      <c r="F280" s="9">
        <v>90000</v>
      </c>
      <c r="G280" s="2" t="str">
        <f>VLOOKUP(표4[[#This Row],[강사번호]],표2[],2,FALSE)</f>
        <v>강인성</v>
      </c>
    </row>
    <row r="281" spans="1:7" x14ac:dyDescent="0.3">
      <c r="A281" s="2" t="s">
        <v>1165</v>
      </c>
      <c r="B281" s="2" t="s">
        <v>283</v>
      </c>
      <c r="C281" s="2" t="s">
        <v>1166</v>
      </c>
      <c r="D281" s="2" t="s">
        <v>1167</v>
      </c>
      <c r="E281" s="2">
        <v>1095</v>
      </c>
      <c r="F281" s="9">
        <v>46000</v>
      </c>
      <c r="G281" s="2" t="str">
        <f>VLOOKUP(표4[[#This Row],[강사번호]],표2[],2,FALSE)</f>
        <v>김민정</v>
      </c>
    </row>
    <row r="282" spans="1:7" x14ac:dyDescent="0.3">
      <c r="A282" s="2" t="s">
        <v>1168</v>
      </c>
      <c r="B282" s="2" t="s">
        <v>283</v>
      </c>
      <c r="C282" s="2" t="s">
        <v>1169</v>
      </c>
      <c r="D282" s="2" t="s">
        <v>1170</v>
      </c>
      <c r="E282" s="2">
        <v>365</v>
      </c>
      <c r="F282" s="9">
        <v>87000</v>
      </c>
      <c r="G282" s="2" t="str">
        <f>VLOOKUP(표4[[#This Row],[강사번호]],표2[],2,FALSE)</f>
        <v>김민정</v>
      </c>
    </row>
    <row r="283" spans="1:7" x14ac:dyDescent="0.3">
      <c r="A283" s="2" t="s">
        <v>1171</v>
      </c>
      <c r="B283" s="2" t="s">
        <v>289</v>
      </c>
      <c r="C283" s="2" t="s">
        <v>1172</v>
      </c>
      <c r="D283" s="2" t="s">
        <v>1173</v>
      </c>
      <c r="E283" s="2">
        <v>30</v>
      </c>
      <c r="F283" s="9">
        <v>94000</v>
      </c>
      <c r="G283" s="2" t="str">
        <f>VLOOKUP(표4[[#This Row],[강사번호]],표2[],2,FALSE)</f>
        <v>이영선</v>
      </c>
    </row>
    <row r="284" spans="1:7" x14ac:dyDescent="0.3">
      <c r="A284" s="2" t="s">
        <v>1174</v>
      </c>
      <c r="B284" s="2" t="s">
        <v>295</v>
      </c>
      <c r="C284" s="2" t="s">
        <v>1175</v>
      </c>
      <c r="D284" s="2" t="s">
        <v>1176</v>
      </c>
      <c r="E284" s="2">
        <v>14</v>
      </c>
      <c r="F284" s="9">
        <v>61000</v>
      </c>
      <c r="G284" s="2" t="str">
        <f>VLOOKUP(표4[[#This Row],[강사번호]],표2[],2,FALSE)</f>
        <v>강인성</v>
      </c>
    </row>
    <row r="285" spans="1:7" x14ac:dyDescent="0.3">
      <c r="A285" s="2" t="s">
        <v>1177</v>
      </c>
      <c r="B285" s="2" t="s">
        <v>289</v>
      </c>
      <c r="C285" s="2" t="s">
        <v>1178</v>
      </c>
      <c r="D285" s="2" t="s">
        <v>1179</v>
      </c>
      <c r="E285" s="2">
        <v>90</v>
      </c>
      <c r="F285" s="9">
        <v>354000</v>
      </c>
      <c r="G285" s="2" t="str">
        <f>VLOOKUP(표4[[#This Row],[강사번호]],표2[],2,FALSE)</f>
        <v>이영선</v>
      </c>
    </row>
    <row r="286" spans="1:7" x14ac:dyDescent="0.3">
      <c r="A286" s="2" t="s">
        <v>1180</v>
      </c>
      <c r="B286" s="2" t="s">
        <v>295</v>
      </c>
      <c r="C286" s="2" t="s">
        <v>1181</v>
      </c>
      <c r="D286" s="2" t="s">
        <v>1182</v>
      </c>
      <c r="E286" s="2">
        <v>15</v>
      </c>
      <c r="F286" s="9">
        <v>15000</v>
      </c>
      <c r="G286" s="2" t="str">
        <f>VLOOKUP(표4[[#This Row],[강사번호]],표2[],2,FALSE)</f>
        <v>강인성</v>
      </c>
    </row>
    <row r="287" spans="1:7" x14ac:dyDescent="0.3">
      <c r="A287" s="2" t="s">
        <v>1183</v>
      </c>
      <c r="B287" s="2" t="s">
        <v>295</v>
      </c>
      <c r="C287" s="2" t="s">
        <v>1184</v>
      </c>
      <c r="D287" s="2" t="s">
        <v>1185</v>
      </c>
      <c r="E287" s="2">
        <v>20</v>
      </c>
      <c r="F287" s="9">
        <v>94000</v>
      </c>
      <c r="G287" s="2" t="str">
        <f>VLOOKUP(표4[[#This Row],[강사번호]],표2[],2,FALSE)</f>
        <v>강인성</v>
      </c>
    </row>
    <row r="288" spans="1:7" x14ac:dyDescent="0.3">
      <c r="A288" s="2" t="s">
        <v>1186</v>
      </c>
      <c r="B288" s="2" t="s">
        <v>295</v>
      </c>
      <c r="C288" s="2" t="s">
        <v>1187</v>
      </c>
      <c r="D288" s="2" t="s">
        <v>1188</v>
      </c>
      <c r="E288" s="2">
        <v>10</v>
      </c>
      <c r="F288" s="9">
        <v>76000</v>
      </c>
      <c r="G288" s="2" t="str">
        <f>VLOOKUP(표4[[#This Row],[강사번호]],표2[],2,FALSE)</f>
        <v>강인성</v>
      </c>
    </row>
    <row r="289" spans="1:7" x14ac:dyDescent="0.3">
      <c r="A289" s="2" t="s">
        <v>1189</v>
      </c>
      <c r="B289" s="2" t="s">
        <v>283</v>
      </c>
      <c r="C289" s="2" t="s">
        <v>1190</v>
      </c>
      <c r="D289" s="2" t="s">
        <v>1191</v>
      </c>
      <c r="E289" s="2">
        <v>365</v>
      </c>
      <c r="F289" s="9">
        <v>35000</v>
      </c>
      <c r="G289" s="2" t="str">
        <f>VLOOKUP(표4[[#This Row],[강사번호]],표2[],2,FALSE)</f>
        <v>김민정</v>
      </c>
    </row>
    <row r="290" spans="1:7" x14ac:dyDescent="0.3">
      <c r="A290" s="2" t="s">
        <v>1192</v>
      </c>
      <c r="B290" s="2" t="s">
        <v>289</v>
      </c>
      <c r="C290" s="2" t="s">
        <v>1193</v>
      </c>
      <c r="D290" s="2" t="s">
        <v>1194</v>
      </c>
      <c r="E290" s="2">
        <v>60</v>
      </c>
      <c r="F290" s="9">
        <v>15000</v>
      </c>
      <c r="G290" s="2" t="str">
        <f>VLOOKUP(표4[[#This Row],[강사번호]],표2[],2,FALSE)</f>
        <v>이영선</v>
      </c>
    </row>
    <row r="291" spans="1:7" x14ac:dyDescent="0.3">
      <c r="A291" s="2" t="s">
        <v>1195</v>
      </c>
      <c r="B291" s="2" t="s">
        <v>295</v>
      </c>
      <c r="C291" s="2" t="s">
        <v>1196</v>
      </c>
      <c r="D291" s="2" t="s">
        <v>1197</v>
      </c>
      <c r="E291" s="2">
        <v>20</v>
      </c>
      <c r="F291" s="9">
        <v>98000</v>
      </c>
      <c r="G291" s="2" t="str">
        <f>VLOOKUP(표4[[#This Row],[강사번호]],표2[],2,FALSE)</f>
        <v>강인성</v>
      </c>
    </row>
    <row r="292" spans="1:7" x14ac:dyDescent="0.3">
      <c r="A292" s="2" t="s">
        <v>1198</v>
      </c>
      <c r="B292" s="2" t="s">
        <v>283</v>
      </c>
      <c r="C292" s="2" t="s">
        <v>1199</v>
      </c>
      <c r="D292" s="2" t="s">
        <v>1200</v>
      </c>
      <c r="E292" s="2">
        <v>730</v>
      </c>
      <c r="F292" s="9">
        <v>64000</v>
      </c>
      <c r="G292" s="2" t="str">
        <f>VLOOKUP(표4[[#This Row],[강사번호]],표2[],2,FALSE)</f>
        <v>김민정</v>
      </c>
    </row>
    <row r="293" spans="1:7" x14ac:dyDescent="0.3">
      <c r="A293" s="2" t="s">
        <v>1201</v>
      </c>
      <c r="B293" s="2" t="s">
        <v>289</v>
      </c>
      <c r="C293" s="2" t="s">
        <v>1202</v>
      </c>
      <c r="D293" s="2" t="s">
        <v>1203</v>
      </c>
      <c r="E293" s="2">
        <v>60</v>
      </c>
      <c r="F293" s="9">
        <v>15000</v>
      </c>
      <c r="G293" s="2" t="str">
        <f>VLOOKUP(표4[[#This Row],[강사번호]],표2[],2,FALSE)</f>
        <v>이영선</v>
      </c>
    </row>
    <row r="294" spans="1:7" x14ac:dyDescent="0.3">
      <c r="A294" s="2" t="s">
        <v>1204</v>
      </c>
      <c r="B294" s="2" t="s">
        <v>295</v>
      </c>
      <c r="C294" s="2" t="s">
        <v>1205</v>
      </c>
      <c r="D294" s="2" t="s">
        <v>1206</v>
      </c>
      <c r="E294" s="2">
        <v>20</v>
      </c>
      <c r="F294" s="9">
        <v>78000</v>
      </c>
      <c r="G294" s="2" t="str">
        <f>VLOOKUP(표4[[#This Row],[강사번호]],표2[],2,FALSE)</f>
        <v>강인성</v>
      </c>
    </row>
    <row r="295" spans="1:7" x14ac:dyDescent="0.3">
      <c r="A295" s="2" t="s">
        <v>1207</v>
      </c>
      <c r="B295" s="2" t="s">
        <v>289</v>
      </c>
      <c r="C295" s="2" t="s">
        <v>1208</v>
      </c>
      <c r="D295" s="2" t="s">
        <v>1209</v>
      </c>
      <c r="E295" s="2">
        <v>90</v>
      </c>
      <c r="F295" s="9">
        <v>64000</v>
      </c>
      <c r="G295" s="2" t="str">
        <f>VLOOKUP(표4[[#This Row],[강사번호]],표2[],2,FALSE)</f>
        <v>이영선</v>
      </c>
    </row>
    <row r="296" spans="1:7" x14ac:dyDescent="0.3">
      <c r="A296" s="2" t="s">
        <v>1210</v>
      </c>
      <c r="B296" s="2" t="s">
        <v>283</v>
      </c>
      <c r="C296" s="2" t="s">
        <v>1211</v>
      </c>
      <c r="D296" s="2" t="s">
        <v>1212</v>
      </c>
      <c r="E296" s="2">
        <v>365</v>
      </c>
      <c r="F296" s="9">
        <v>89000</v>
      </c>
      <c r="G296" s="2" t="str">
        <f>VLOOKUP(표4[[#This Row],[강사번호]],표2[],2,FALSE)</f>
        <v>김민정</v>
      </c>
    </row>
    <row r="297" spans="1:7" x14ac:dyDescent="0.3">
      <c r="A297" s="2" t="s">
        <v>1213</v>
      </c>
      <c r="B297" s="2" t="s">
        <v>295</v>
      </c>
      <c r="C297" s="2" t="s">
        <v>1214</v>
      </c>
      <c r="D297" s="2" t="s">
        <v>1215</v>
      </c>
      <c r="E297" s="2">
        <v>20</v>
      </c>
      <c r="F297" s="9">
        <v>63000</v>
      </c>
      <c r="G297" s="2" t="str">
        <f>VLOOKUP(표4[[#This Row],[강사번호]],표2[],2,FALSE)</f>
        <v>강인성</v>
      </c>
    </row>
    <row r="298" spans="1:7" x14ac:dyDescent="0.3">
      <c r="A298" s="2" t="s">
        <v>1216</v>
      </c>
      <c r="B298" s="2" t="s">
        <v>289</v>
      </c>
      <c r="C298" s="2" t="s">
        <v>1217</v>
      </c>
      <c r="D298" s="2" t="s">
        <v>1218</v>
      </c>
      <c r="E298" s="2">
        <v>60</v>
      </c>
      <c r="F298" s="9">
        <v>15000</v>
      </c>
      <c r="G298" s="2" t="str">
        <f>VLOOKUP(표4[[#This Row],[강사번호]],표2[],2,FALSE)</f>
        <v>이영선</v>
      </c>
    </row>
    <row r="299" spans="1:7" x14ac:dyDescent="0.3">
      <c r="A299" s="2" t="s">
        <v>1219</v>
      </c>
      <c r="B299" s="2" t="s">
        <v>295</v>
      </c>
      <c r="C299" s="2" t="s">
        <v>1220</v>
      </c>
      <c r="D299" s="2" t="s">
        <v>1221</v>
      </c>
      <c r="E299" s="2">
        <v>14</v>
      </c>
      <c r="F299" s="9">
        <v>80000</v>
      </c>
      <c r="G299" s="2" t="str">
        <f>VLOOKUP(표4[[#This Row],[강사번호]],표2[],2,FALSE)</f>
        <v>강인성</v>
      </c>
    </row>
    <row r="300" spans="1:7" x14ac:dyDescent="0.3">
      <c r="A300" s="2" t="s">
        <v>1222</v>
      </c>
      <c r="B300" s="2" t="s">
        <v>289</v>
      </c>
      <c r="C300" s="2" t="s">
        <v>1223</v>
      </c>
      <c r="D300" s="2" t="s">
        <v>1224</v>
      </c>
      <c r="E300" s="2">
        <v>90</v>
      </c>
      <c r="F300" s="9">
        <v>15000</v>
      </c>
      <c r="G300" s="2" t="str">
        <f>VLOOKUP(표4[[#This Row],[강사번호]],표2[],2,FALSE)</f>
        <v>이영선</v>
      </c>
    </row>
    <row r="301" spans="1:7" x14ac:dyDescent="0.3">
      <c r="A301" s="2" t="s">
        <v>1225</v>
      </c>
      <c r="B301" s="2" t="s">
        <v>295</v>
      </c>
      <c r="C301" s="2" t="s">
        <v>1226</v>
      </c>
      <c r="D301" s="2" t="s">
        <v>1227</v>
      </c>
      <c r="E301" s="2">
        <v>15</v>
      </c>
      <c r="F301" s="9">
        <v>65000</v>
      </c>
      <c r="G301" s="2" t="str">
        <f>VLOOKUP(표4[[#This Row],[강사번호]],표2[],2,FALSE)</f>
        <v>강인성</v>
      </c>
    </row>
    <row r="302" spans="1:7" x14ac:dyDescent="0.3">
      <c r="A302" s="2" t="s">
        <v>1228</v>
      </c>
      <c r="B302" s="2" t="s">
        <v>295</v>
      </c>
      <c r="C302" s="2" t="s">
        <v>1229</v>
      </c>
      <c r="D302" s="2" t="s">
        <v>1230</v>
      </c>
      <c r="E302" s="2">
        <v>21</v>
      </c>
      <c r="F302" s="9">
        <v>900000</v>
      </c>
      <c r="G302" s="2" t="str">
        <f>VLOOKUP(표4[[#This Row],[강사번호]],표2[],2,FALSE)</f>
        <v>강인성</v>
      </c>
    </row>
    <row r="303" spans="1:7" x14ac:dyDescent="0.3">
      <c r="A303" s="2" t="s">
        <v>1231</v>
      </c>
      <c r="B303" s="2" t="s">
        <v>283</v>
      </c>
      <c r="C303" s="2" t="s">
        <v>1232</v>
      </c>
      <c r="D303" s="2" t="s">
        <v>1233</v>
      </c>
      <c r="E303" s="2">
        <v>365</v>
      </c>
      <c r="F303" s="9">
        <v>150000</v>
      </c>
      <c r="G303" s="2" t="str">
        <f>VLOOKUP(표4[[#This Row],[강사번호]],표2[],2,FALSE)</f>
        <v>김민정</v>
      </c>
    </row>
    <row r="304" spans="1:7" x14ac:dyDescent="0.3">
      <c r="A304" s="2" t="s">
        <v>1234</v>
      </c>
      <c r="B304" s="2" t="s">
        <v>295</v>
      </c>
      <c r="C304" s="2" t="s">
        <v>1235</v>
      </c>
      <c r="D304" s="2" t="s">
        <v>1236</v>
      </c>
      <c r="E304" s="2">
        <v>20</v>
      </c>
      <c r="F304" s="9">
        <v>45000</v>
      </c>
      <c r="G304" s="2" t="str">
        <f>VLOOKUP(표4[[#This Row],[강사번호]],표2[],2,FALSE)</f>
        <v>강인성</v>
      </c>
    </row>
    <row r="305" spans="1:7" x14ac:dyDescent="0.3">
      <c r="A305" s="2" t="s">
        <v>1237</v>
      </c>
      <c r="B305" s="2" t="s">
        <v>283</v>
      </c>
      <c r="C305" s="2" t="s">
        <v>1238</v>
      </c>
      <c r="D305" s="2" t="s">
        <v>1239</v>
      </c>
      <c r="E305" s="2">
        <v>365</v>
      </c>
      <c r="F305" s="9">
        <v>78000</v>
      </c>
      <c r="G305" s="2" t="str">
        <f>VLOOKUP(표4[[#This Row],[강사번호]],표2[],2,FALSE)</f>
        <v>김민정</v>
      </c>
    </row>
    <row r="306" spans="1:7" x14ac:dyDescent="0.3">
      <c r="A306" s="2" t="s">
        <v>1240</v>
      </c>
      <c r="B306" s="2" t="s">
        <v>283</v>
      </c>
      <c r="C306" s="2" t="s">
        <v>1241</v>
      </c>
      <c r="D306" s="2" t="s">
        <v>1242</v>
      </c>
      <c r="E306" s="2">
        <v>1095</v>
      </c>
      <c r="F306" s="9">
        <v>1600000</v>
      </c>
      <c r="G306" s="2" t="str">
        <f>VLOOKUP(표4[[#This Row],[강사번호]],표2[],2,FALSE)</f>
        <v>김민정</v>
      </c>
    </row>
    <row r="307" spans="1:7" x14ac:dyDescent="0.3">
      <c r="A307" s="2" t="s">
        <v>1243</v>
      </c>
      <c r="B307" s="2" t="s">
        <v>295</v>
      </c>
      <c r="C307" s="2" t="s">
        <v>1244</v>
      </c>
      <c r="D307" s="2" t="s">
        <v>1245</v>
      </c>
      <c r="E307" s="2">
        <v>20</v>
      </c>
      <c r="F307" s="9">
        <v>64000</v>
      </c>
      <c r="G307" s="2" t="str">
        <f>VLOOKUP(표4[[#This Row],[강사번호]],표2[],2,FALSE)</f>
        <v>강인성</v>
      </c>
    </row>
    <row r="308" spans="1:7" x14ac:dyDescent="0.3">
      <c r="A308" s="2" t="s">
        <v>1246</v>
      </c>
      <c r="B308" s="2" t="s">
        <v>295</v>
      </c>
      <c r="C308" s="2" t="s">
        <v>1247</v>
      </c>
      <c r="D308" s="2" t="s">
        <v>1248</v>
      </c>
      <c r="E308" s="2">
        <v>24</v>
      </c>
      <c r="F308" s="9">
        <v>65000</v>
      </c>
      <c r="G308" s="2" t="str">
        <f>VLOOKUP(표4[[#This Row],[강사번호]],표2[],2,FALSE)</f>
        <v>강인성</v>
      </c>
    </row>
    <row r="309" spans="1:7" x14ac:dyDescent="0.3">
      <c r="A309" s="2" t="s">
        <v>1249</v>
      </c>
      <c r="B309" s="2" t="s">
        <v>283</v>
      </c>
      <c r="C309" s="2" t="s">
        <v>1250</v>
      </c>
      <c r="D309" s="2" t="s">
        <v>1251</v>
      </c>
      <c r="E309" s="2">
        <v>365</v>
      </c>
      <c r="F309" s="9">
        <v>78000</v>
      </c>
      <c r="G309" s="2" t="str">
        <f>VLOOKUP(표4[[#This Row],[강사번호]],표2[],2,FALSE)</f>
        <v>김민정</v>
      </c>
    </row>
    <row r="310" spans="1:7" x14ac:dyDescent="0.3">
      <c r="A310" s="2" t="s">
        <v>1252</v>
      </c>
      <c r="B310" s="2" t="s">
        <v>283</v>
      </c>
      <c r="C310" s="2" t="s">
        <v>1253</v>
      </c>
      <c r="D310" s="2" t="s">
        <v>1254</v>
      </c>
      <c r="E310" s="2">
        <v>730</v>
      </c>
      <c r="F310" s="9">
        <v>98000</v>
      </c>
      <c r="G310" s="2" t="str">
        <f>VLOOKUP(표4[[#This Row],[강사번호]],표2[],2,FALSE)</f>
        <v>김민정</v>
      </c>
    </row>
    <row r="311" spans="1:7" x14ac:dyDescent="0.3">
      <c r="A311" s="2" t="s">
        <v>1255</v>
      </c>
      <c r="B311" s="2" t="s">
        <v>295</v>
      </c>
      <c r="C311" s="2" t="s">
        <v>1256</v>
      </c>
      <c r="D311" s="2" t="s">
        <v>1257</v>
      </c>
      <c r="E311" s="2">
        <v>14</v>
      </c>
      <c r="F311" s="9">
        <v>1600000</v>
      </c>
      <c r="G311" s="2" t="str">
        <f>VLOOKUP(표4[[#This Row],[강사번호]],표2[],2,FALSE)</f>
        <v>강인성</v>
      </c>
    </row>
    <row r="312" spans="1:7" x14ac:dyDescent="0.3">
      <c r="A312" s="2" t="s">
        <v>1258</v>
      </c>
      <c r="B312" s="2" t="s">
        <v>295</v>
      </c>
      <c r="C312" s="2" t="s">
        <v>1259</v>
      </c>
      <c r="D312" s="2" t="s">
        <v>1260</v>
      </c>
      <c r="E312" s="2">
        <v>7</v>
      </c>
      <c r="F312" s="9">
        <v>45000</v>
      </c>
      <c r="G312" s="2" t="str">
        <f>VLOOKUP(표4[[#This Row],[강사번호]],표2[],2,FALSE)</f>
        <v>강인성</v>
      </c>
    </row>
    <row r="313" spans="1:7" x14ac:dyDescent="0.3">
      <c r="A313" s="2" t="s">
        <v>1261</v>
      </c>
      <c r="B313" s="2" t="s">
        <v>289</v>
      </c>
      <c r="C313" s="2" t="s">
        <v>1262</v>
      </c>
      <c r="D313" s="2" t="s">
        <v>1263</v>
      </c>
      <c r="E313" s="2">
        <v>30</v>
      </c>
      <c r="F313" s="9">
        <v>78000</v>
      </c>
      <c r="G313" s="2" t="str">
        <f>VLOOKUP(표4[[#This Row],[강사번호]],표2[],2,FALSE)</f>
        <v>이영선</v>
      </c>
    </row>
    <row r="314" spans="1:7" x14ac:dyDescent="0.3">
      <c r="A314" s="2" t="s">
        <v>1264</v>
      </c>
      <c r="B314" s="2" t="s">
        <v>289</v>
      </c>
      <c r="C314" s="2" t="s">
        <v>1265</v>
      </c>
      <c r="D314" s="2" t="s">
        <v>1266</v>
      </c>
      <c r="E314" s="2">
        <v>60</v>
      </c>
      <c r="F314" s="9">
        <v>64000</v>
      </c>
      <c r="G314" s="2" t="str">
        <f>VLOOKUP(표4[[#This Row],[강사번호]],표2[],2,FALSE)</f>
        <v>이영선</v>
      </c>
    </row>
    <row r="315" spans="1:7" x14ac:dyDescent="0.3">
      <c r="A315" s="2" t="s">
        <v>1267</v>
      </c>
      <c r="B315" s="2" t="s">
        <v>289</v>
      </c>
      <c r="C315" s="2" t="s">
        <v>1268</v>
      </c>
      <c r="D315" s="2" t="s">
        <v>1269</v>
      </c>
      <c r="E315" s="2">
        <v>30</v>
      </c>
      <c r="F315" s="9">
        <v>45000</v>
      </c>
      <c r="G315" s="2" t="str">
        <f>VLOOKUP(표4[[#This Row],[강사번호]],표2[],2,FALSE)</f>
        <v>이영선</v>
      </c>
    </row>
    <row r="316" spans="1:7" x14ac:dyDescent="0.3">
      <c r="A316" s="2" t="s">
        <v>1270</v>
      </c>
      <c r="B316" s="2" t="s">
        <v>295</v>
      </c>
      <c r="C316" s="2" t="s">
        <v>1271</v>
      </c>
      <c r="D316" s="2" t="s">
        <v>1272</v>
      </c>
      <c r="E316" s="2">
        <v>365</v>
      </c>
      <c r="F316" s="9">
        <v>15000</v>
      </c>
      <c r="G316" s="2" t="str">
        <f>VLOOKUP(표4[[#This Row],[강사번호]],표2[],2,FALSE)</f>
        <v>강인성</v>
      </c>
    </row>
    <row r="317" spans="1:7" x14ac:dyDescent="0.3">
      <c r="A317" s="2" t="s">
        <v>1273</v>
      </c>
      <c r="B317" s="2" t="s">
        <v>301</v>
      </c>
      <c r="C317" s="2" t="s">
        <v>1274</v>
      </c>
      <c r="D317" s="2" t="s">
        <v>1275</v>
      </c>
      <c r="E317" s="2">
        <v>1095</v>
      </c>
      <c r="F317" s="9">
        <v>91000</v>
      </c>
      <c r="G317" s="2" t="str">
        <f>VLOOKUP(표4[[#This Row],[강사번호]],표2[],2,FALSE)</f>
        <v>민우연</v>
      </c>
    </row>
    <row r="318" spans="1:7" x14ac:dyDescent="0.3">
      <c r="A318" s="2" t="s">
        <v>1276</v>
      </c>
      <c r="B318" s="2" t="s">
        <v>307</v>
      </c>
      <c r="C318" s="2" t="s">
        <v>1277</v>
      </c>
      <c r="D318" s="2" t="s">
        <v>1278</v>
      </c>
      <c r="E318" s="2">
        <v>365</v>
      </c>
      <c r="F318" s="9">
        <v>75000</v>
      </c>
      <c r="G318" s="2" t="str">
        <f>VLOOKUP(표4[[#This Row],[강사번호]],표2[],2,FALSE)</f>
        <v>김영민</v>
      </c>
    </row>
    <row r="319" spans="1:7" x14ac:dyDescent="0.3">
      <c r="A319" s="2" t="s">
        <v>1279</v>
      </c>
      <c r="B319" s="2" t="s">
        <v>301</v>
      </c>
      <c r="C319" s="2" t="s">
        <v>1280</v>
      </c>
      <c r="D319" s="2" t="s">
        <v>1281</v>
      </c>
      <c r="E319" s="2">
        <v>730</v>
      </c>
      <c r="F319" s="9">
        <v>65000</v>
      </c>
      <c r="G319" s="2" t="str">
        <f>VLOOKUP(표4[[#This Row],[강사번호]],표2[],2,FALSE)</f>
        <v>민우연</v>
      </c>
    </row>
    <row r="320" spans="1:7" x14ac:dyDescent="0.3">
      <c r="A320" s="2" t="s">
        <v>1282</v>
      </c>
      <c r="B320" s="2" t="s">
        <v>313</v>
      </c>
      <c r="C320" s="2" t="s">
        <v>1283</v>
      </c>
      <c r="D320" s="2" t="s">
        <v>1284</v>
      </c>
      <c r="E320" s="2">
        <v>21</v>
      </c>
      <c r="F320" s="9">
        <v>37000</v>
      </c>
      <c r="G320" s="2" t="str">
        <f>VLOOKUP(표4[[#This Row],[강사번호]],표2[],2,FALSE)</f>
        <v>선영지</v>
      </c>
    </row>
    <row r="321" spans="1:7" x14ac:dyDescent="0.3">
      <c r="A321" s="2" t="s">
        <v>1285</v>
      </c>
      <c r="B321" s="2" t="s">
        <v>313</v>
      </c>
      <c r="C321" s="2" t="s">
        <v>1286</v>
      </c>
      <c r="D321" s="2" t="s">
        <v>1287</v>
      </c>
      <c r="E321" s="2">
        <v>14</v>
      </c>
      <c r="F321" s="9">
        <v>94000</v>
      </c>
      <c r="G321" s="2" t="str">
        <f>VLOOKUP(표4[[#This Row],[강사번호]],표2[],2,FALSE)</f>
        <v>선영지</v>
      </c>
    </row>
    <row r="322" spans="1:7" x14ac:dyDescent="0.3">
      <c r="A322" s="2" t="s">
        <v>1288</v>
      </c>
      <c r="B322" s="2" t="s">
        <v>301</v>
      </c>
      <c r="C322" s="2" t="s">
        <v>1289</v>
      </c>
      <c r="D322" s="2" t="s">
        <v>1290</v>
      </c>
      <c r="E322" s="2">
        <v>365</v>
      </c>
      <c r="F322" s="9">
        <v>65000</v>
      </c>
      <c r="G322" s="2" t="str">
        <f>VLOOKUP(표4[[#This Row],[강사번호]],표2[],2,FALSE)</f>
        <v>민우연</v>
      </c>
    </row>
    <row r="323" spans="1:7" x14ac:dyDescent="0.3">
      <c r="A323" s="2" t="s">
        <v>1291</v>
      </c>
      <c r="B323" s="2" t="s">
        <v>313</v>
      </c>
      <c r="C323" s="2" t="s">
        <v>1292</v>
      </c>
      <c r="D323" s="2" t="s">
        <v>1293</v>
      </c>
      <c r="E323" s="2">
        <v>7</v>
      </c>
      <c r="F323" s="9">
        <v>78000</v>
      </c>
      <c r="G323" s="2" t="str">
        <f>VLOOKUP(표4[[#This Row],[강사번호]],표2[],2,FALSE)</f>
        <v>선영지</v>
      </c>
    </row>
    <row r="324" spans="1:7" x14ac:dyDescent="0.3">
      <c r="A324" s="2" t="s">
        <v>1294</v>
      </c>
      <c r="B324" s="2" t="s">
        <v>307</v>
      </c>
      <c r="C324" s="2" t="s">
        <v>1295</v>
      </c>
      <c r="D324" s="2" t="s">
        <v>1296</v>
      </c>
      <c r="E324" s="2">
        <v>60</v>
      </c>
      <c r="F324" s="9">
        <v>95000</v>
      </c>
      <c r="G324" s="2" t="str">
        <f>VLOOKUP(표4[[#This Row],[강사번호]],표2[],2,FALSE)</f>
        <v>김영민</v>
      </c>
    </row>
    <row r="325" spans="1:7" x14ac:dyDescent="0.3">
      <c r="A325" s="2" t="s">
        <v>1297</v>
      </c>
      <c r="B325" s="2" t="s">
        <v>301</v>
      </c>
      <c r="C325" s="2" t="s">
        <v>1298</v>
      </c>
      <c r="D325" s="2" t="s">
        <v>1299</v>
      </c>
      <c r="E325" s="2">
        <v>365</v>
      </c>
      <c r="F325" s="9">
        <v>6450000</v>
      </c>
      <c r="G325" s="2" t="str">
        <f>VLOOKUP(표4[[#This Row],[강사번호]],표2[],2,FALSE)</f>
        <v>민우연</v>
      </c>
    </row>
    <row r="326" spans="1:7" x14ac:dyDescent="0.3">
      <c r="A326" s="2" t="s">
        <v>1300</v>
      </c>
      <c r="B326" s="2" t="s">
        <v>301</v>
      </c>
      <c r="C326" s="2" t="s">
        <v>1301</v>
      </c>
      <c r="D326" s="2" t="s">
        <v>1302</v>
      </c>
      <c r="E326" s="2">
        <v>730</v>
      </c>
      <c r="F326" s="9">
        <v>15000</v>
      </c>
      <c r="G326" s="2" t="str">
        <f>VLOOKUP(표4[[#This Row],[강사번호]],표2[],2,FALSE)</f>
        <v>민우연</v>
      </c>
    </row>
    <row r="327" spans="1:7" x14ac:dyDescent="0.3">
      <c r="A327" s="2" t="s">
        <v>1303</v>
      </c>
      <c r="B327" s="2" t="s">
        <v>307</v>
      </c>
      <c r="C327" s="2" t="s">
        <v>1304</v>
      </c>
      <c r="D327" s="2" t="s">
        <v>1305</v>
      </c>
      <c r="E327" s="2">
        <v>60</v>
      </c>
      <c r="F327" s="9">
        <v>654000</v>
      </c>
      <c r="G327" s="2" t="str">
        <f>VLOOKUP(표4[[#This Row],[강사번호]],표2[],2,FALSE)</f>
        <v>김영민</v>
      </c>
    </row>
    <row r="328" spans="1:7" x14ac:dyDescent="0.3">
      <c r="A328" s="2" t="s">
        <v>1306</v>
      </c>
      <c r="B328" s="2" t="s">
        <v>307</v>
      </c>
      <c r="C328" s="2" t="s">
        <v>1307</v>
      </c>
      <c r="D328" s="2" t="s">
        <v>1308</v>
      </c>
      <c r="E328" s="2">
        <v>30</v>
      </c>
      <c r="F328" s="9">
        <v>78000</v>
      </c>
      <c r="G328" s="2" t="str">
        <f>VLOOKUP(표4[[#This Row],[강사번호]],표2[],2,FALSE)</f>
        <v>김영민</v>
      </c>
    </row>
    <row r="329" spans="1:7" x14ac:dyDescent="0.3">
      <c r="A329" s="2" t="s">
        <v>1309</v>
      </c>
      <c r="B329" s="2" t="s">
        <v>313</v>
      </c>
      <c r="C329" s="2" t="s">
        <v>1310</v>
      </c>
      <c r="D329" s="2" t="s">
        <v>1311</v>
      </c>
      <c r="E329" s="2">
        <v>21</v>
      </c>
      <c r="F329" s="9">
        <v>45000</v>
      </c>
      <c r="G329" s="2" t="str">
        <f>VLOOKUP(표4[[#This Row],[강사번호]],표2[],2,FALSE)</f>
        <v>선영지</v>
      </c>
    </row>
    <row r="330" spans="1:7" x14ac:dyDescent="0.3">
      <c r="A330" s="2" t="s">
        <v>1312</v>
      </c>
      <c r="B330" s="2" t="s">
        <v>301</v>
      </c>
      <c r="C330" s="2" t="s">
        <v>1313</v>
      </c>
      <c r="D330" s="2" t="s">
        <v>1314</v>
      </c>
      <c r="E330" s="2">
        <v>365</v>
      </c>
      <c r="F330" s="9">
        <v>15000</v>
      </c>
      <c r="G330" s="2" t="str">
        <f>VLOOKUP(표4[[#This Row],[강사번호]],표2[],2,FALSE)</f>
        <v>민우연</v>
      </c>
    </row>
    <row r="331" spans="1:7" x14ac:dyDescent="0.3">
      <c r="A331" s="2" t="s">
        <v>1315</v>
      </c>
      <c r="B331" s="2" t="s">
        <v>307</v>
      </c>
      <c r="C331" s="2" t="s">
        <v>1316</v>
      </c>
      <c r="D331" s="2" t="s">
        <v>1317</v>
      </c>
      <c r="E331" s="2">
        <v>30</v>
      </c>
      <c r="F331" s="9">
        <v>92000</v>
      </c>
      <c r="G331" s="2" t="str">
        <f>VLOOKUP(표4[[#This Row],[강사번호]],표2[],2,FALSE)</f>
        <v>김영민</v>
      </c>
    </row>
    <row r="332" spans="1:7" x14ac:dyDescent="0.3">
      <c r="A332" s="2" t="s">
        <v>1318</v>
      </c>
      <c r="B332" s="2" t="s">
        <v>307</v>
      </c>
      <c r="C332" s="2" t="s">
        <v>1319</v>
      </c>
      <c r="D332" s="2" t="s">
        <v>1320</v>
      </c>
      <c r="E332" s="2">
        <v>60</v>
      </c>
      <c r="F332" s="9">
        <v>150000</v>
      </c>
      <c r="G332" s="2" t="str">
        <f>VLOOKUP(표4[[#This Row],[강사번호]],표2[],2,FALSE)</f>
        <v>김영민</v>
      </c>
    </row>
    <row r="333" spans="1:7" x14ac:dyDescent="0.3">
      <c r="A333" s="2" t="s">
        <v>1321</v>
      </c>
      <c r="B333" s="2" t="s">
        <v>307</v>
      </c>
      <c r="C333" s="2" t="s">
        <v>1322</v>
      </c>
      <c r="D333" s="2" t="s">
        <v>1323</v>
      </c>
      <c r="E333" s="2">
        <v>30</v>
      </c>
      <c r="F333" s="9">
        <v>35000</v>
      </c>
      <c r="G333" s="2" t="str">
        <f>VLOOKUP(표4[[#This Row],[강사번호]],표2[],2,FALSE)</f>
        <v>김영민</v>
      </c>
    </row>
    <row r="334" spans="1:7" x14ac:dyDescent="0.3">
      <c r="A334" s="2" t="s">
        <v>1324</v>
      </c>
      <c r="B334" s="2" t="s">
        <v>313</v>
      </c>
      <c r="C334" s="2" t="s">
        <v>1325</v>
      </c>
      <c r="D334" s="2" t="s">
        <v>1326</v>
      </c>
      <c r="E334" s="2">
        <v>20</v>
      </c>
      <c r="F334" s="9">
        <v>64000</v>
      </c>
      <c r="G334" s="2" t="str">
        <f>VLOOKUP(표4[[#This Row],[강사번호]],표2[],2,FALSE)</f>
        <v>선영지</v>
      </c>
    </row>
    <row r="335" spans="1:7" x14ac:dyDescent="0.3">
      <c r="A335" s="2" t="s">
        <v>1327</v>
      </c>
      <c r="B335" s="2" t="s">
        <v>301</v>
      </c>
      <c r="C335" s="2" t="s">
        <v>1328</v>
      </c>
      <c r="D335" s="2" t="s">
        <v>1329</v>
      </c>
      <c r="E335" s="2">
        <v>365</v>
      </c>
      <c r="F335" s="9">
        <v>1500000</v>
      </c>
      <c r="G335" s="2" t="str">
        <f>VLOOKUP(표4[[#This Row],[강사번호]],표2[],2,FALSE)</f>
        <v>민우연</v>
      </c>
    </row>
    <row r="336" spans="1:7" x14ac:dyDescent="0.3">
      <c r="A336" s="2" t="s">
        <v>1330</v>
      </c>
      <c r="B336" s="2" t="s">
        <v>307</v>
      </c>
      <c r="C336" s="2" t="s">
        <v>1331</v>
      </c>
      <c r="D336" s="2" t="s">
        <v>1332</v>
      </c>
      <c r="E336" s="2">
        <v>30</v>
      </c>
      <c r="F336" s="9">
        <v>780000</v>
      </c>
      <c r="G336" s="2" t="str">
        <f>VLOOKUP(표4[[#This Row],[강사번호]],표2[],2,FALSE)</f>
        <v>김영민</v>
      </c>
    </row>
    <row r="337" spans="1:7" x14ac:dyDescent="0.3">
      <c r="A337" s="2" t="s">
        <v>1333</v>
      </c>
      <c r="B337" s="2" t="s">
        <v>313</v>
      </c>
      <c r="C337" s="2" t="s">
        <v>1334</v>
      </c>
      <c r="D337" s="2" t="s">
        <v>1335</v>
      </c>
      <c r="E337" s="2">
        <v>14</v>
      </c>
      <c r="F337" s="9">
        <v>19000</v>
      </c>
      <c r="G337" s="2" t="str">
        <f>VLOOKUP(표4[[#This Row],[강사번호]],표2[],2,FALSE)</f>
        <v>선영지</v>
      </c>
    </row>
    <row r="338" spans="1:7" x14ac:dyDescent="0.3">
      <c r="A338" s="2" t="s">
        <v>1336</v>
      </c>
      <c r="B338" s="2" t="s">
        <v>313</v>
      </c>
      <c r="C338" s="2" t="s">
        <v>1337</v>
      </c>
      <c r="D338" s="2" t="s">
        <v>1338</v>
      </c>
      <c r="E338" s="2">
        <v>7</v>
      </c>
      <c r="F338" s="9">
        <v>46000</v>
      </c>
      <c r="G338" s="2" t="str">
        <f>VLOOKUP(표4[[#This Row],[강사번호]],표2[],2,FALSE)</f>
        <v>선영지</v>
      </c>
    </row>
    <row r="339" spans="1:7" x14ac:dyDescent="0.3">
      <c r="A339" s="2" t="s">
        <v>1339</v>
      </c>
      <c r="B339" s="2" t="s">
        <v>301</v>
      </c>
      <c r="C339" s="2" t="s">
        <v>1340</v>
      </c>
      <c r="D339" s="2" t="s">
        <v>1341</v>
      </c>
      <c r="E339" s="2">
        <v>365</v>
      </c>
      <c r="F339" s="9">
        <v>28000</v>
      </c>
      <c r="G339" s="2" t="str">
        <f>VLOOKUP(표4[[#This Row],[강사번호]],표2[],2,FALSE)</f>
        <v>민우연</v>
      </c>
    </row>
    <row r="340" spans="1:7" x14ac:dyDescent="0.3">
      <c r="A340" s="2" t="s">
        <v>1342</v>
      </c>
      <c r="B340" s="2" t="s">
        <v>307</v>
      </c>
      <c r="C340" s="2" t="s">
        <v>1343</v>
      </c>
      <c r="D340" s="2" t="s">
        <v>1344</v>
      </c>
      <c r="E340" s="2">
        <v>30</v>
      </c>
      <c r="F340" s="9">
        <v>7800000</v>
      </c>
      <c r="G340" s="2" t="str">
        <f>VLOOKUP(표4[[#This Row],[강사번호]],표2[],2,FALSE)</f>
        <v>김영민</v>
      </c>
    </row>
    <row r="341" spans="1:7" x14ac:dyDescent="0.3">
      <c r="A341" s="2" t="s">
        <v>1345</v>
      </c>
      <c r="B341" s="2" t="s">
        <v>301</v>
      </c>
      <c r="C341" s="2" t="s">
        <v>1346</v>
      </c>
      <c r="D341" s="2" t="s">
        <v>1347</v>
      </c>
      <c r="E341" s="2">
        <v>365</v>
      </c>
      <c r="F341" s="9">
        <v>39000</v>
      </c>
      <c r="G341" s="2" t="str">
        <f>VLOOKUP(표4[[#This Row],[강사번호]],표2[],2,FALSE)</f>
        <v>민우연</v>
      </c>
    </row>
    <row r="342" spans="1:7" x14ac:dyDescent="0.3">
      <c r="A342" s="2" t="s">
        <v>1348</v>
      </c>
      <c r="B342" s="2" t="s">
        <v>301</v>
      </c>
      <c r="C342" s="2" t="s">
        <v>1349</v>
      </c>
      <c r="D342" s="2" t="s">
        <v>1350</v>
      </c>
      <c r="E342" s="2">
        <v>730</v>
      </c>
      <c r="F342" s="9">
        <v>199000</v>
      </c>
      <c r="G342" s="2" t="str">
        <f>VLOOKUP(표4[[#This Row],[강사번호]],표2[],2,FALSE)</f>
        <v>민우연</v>
      </c>
    </row>
    <row r="343" spans="1:7" x14ac:dyDescent="0.3">
      <c r="A343" s="2" t="s">
        <v>1351</v>
      </c>
      <c r="B343" s="2" t="s">
        <v>301</v>
      </c>
      <c r="C343" s="2" t="s">
        <v>1352</v>
      </c>
      <c r="D343" s="2" t="s">
        <v>1353</v>
      </c>
      <c r="E343" s="2">
        <v>730</v>
      </c>
      <c r="F343" s="9">
        <v>637000</v>
      </c>
      <c r="G343" s="2" t="str">
        <f>VLOOKUP(표4[[#This Row],[강사번호]],표2[],2,FALSE)</f>
        <v>민우연</v>
      </c>
    </row>
    <row r="344" spans="1:7" x14ac:dyDescent="0.3">
      <c r="A344" s="2" t="s">
        <v>1354</v>
      </c>
      <c r="B344" s="2" t="s">
        <v>307</v>
      </c>
      <c r="C344" s="2" t="s">
        <v>1355</v>
      </c>
      <c r="D344" s="2" t="s">
        <v>1356</v>
      </c>
      <c r="E344" s="2">
        <v>30</v>
      </c>
      <c r="F344" s="9">
        <v>37000</v>
      </c>
      <c r="G344" s="2" t="str">
        <f>VLOOKUP(표4[[#This Row],[강사번호]],표2[],2,FALSE)</f>
        <v>김영민</v>
      </c>
    </row>
    <row r="345" spans="1:7" x14ac:dyDescent="0.3">
      <c r="A345" s="2" t="s">
        <v>1357</v>
      </c>
      <c r="B345" s="2" t="s">
        <v>301</v>
      </c>
      <c r="C345" s="2" t="s">
        <v>1358</v>
      </c>
      <c r="D345" s="2" t="s">
        <v>1359</v>
      </c>
      <c r="E345" s="2">
        <v>365</v>
      </c>
      <c r="F345" s="9">
        <v>150000</v>
      </c>
      <c r="G345" s="2" t="str">
        <f>VLOOKUP(표4[[#This Row],[강사번호]],표2[],2,FALSE)</f>
        <v>민우연</v>
      </c>
    </row>
    <row r="346" spans="1:7" x14ac:dyDescent="0.3">
      <c r="A346" s="2" t="s">
        <v>1360</v>
      </c>
      <c r="B346" s="2" t="s">
        <v>313</v>
      </c>
      <c r="C346" s="2" t="s">
        <v>1361</v>
      </c>
      <c r="D346" s="2" t="s">
        <v>1362</v>
      </c>
      <c r="E346" s="2">
        <v>21</v>
      </c>
      <c r="F346" s="9">
        <v>98000</v>
      </c>
      <c r="G346" s="2" t="str">
        <f>VLOOKUP(표4[[#This Row],[강사번호]],표2[],2,FALSE)</f>
        <v>선영지</v>
      </c>
    </row>
    <row r="347" spans="1:7" x14ac:dyDescent="0.3">
      <c r="A347" s="2" t="s">
        <v>1363</v>
      </c>
      <c r="B347" s="2" t="s">
        <v>301</v>
      </c>
      <c r="C347" s="2" t="s">
        <v>1364</v>
      </c>
      <c r="D347" s="2" t="s">
        <v>1365</v>
      </c>
      <c r="E347" s="2">
        <v>730</v>
      </c>
      <c r="F347" s="9">
        <v>56000</v>
      </c>
      <c r="G347" s="2" t="str">
        <f>VLOOKUP(표4[[#This Row],[강사번호]],표2[],2,FALSE)</f>
        <v>민우연</v>
      </c>
    </row>
    <row r="348" spans="1:7" x14ac:dyDescent="0.3">
      <c r="A348" s="2" t="s">
        <v>1366</v>
      </c>
      <c r="B348" s="2" t="s">
        <v>313</v>
      </c>
      <c r="C348" s="2" t="s">
        <v>1367</v>
      </c>
      <c r="D348" s="2" t="s">
        <v>1368</v>
      </c>
      <c r="E348" s="2">
        <v>21</v>
      </c>
      <c r="F348" s="9">
        <v>780000</v>
      </c>
      <c r="G348" s="2" t="str">
        <f>VLOOKUP(표4[[#This Row],[강사번호]],표2[],2,FALSE)</f>
        <v>선영지</v>
      </c>
    </row>
    <row r="349" spans="1:7" x14ac:dyDescent="0.3">
      <c r="A349" s="2" t="s">
        <v>1369</v>
      </c>
      <c r="B349" s="2" t="s">
        <v>313</v>
      </c>
      <c r="C349" s="2" t="s">
        <v>1370</v>
      </c>
      <c r="D349" s="2" t="s">
        <v>1371</v>
      </c>
      <c r="E349" s="2">
        <v>5</v>
      </c>
      <c r="F349" s="9">
        <v>370000</v>
      </c>
      <c r="G349" s="2" t="str">
        <f>VLOOKUP(표4[[#This Row],[강사번호]],표2[],2,FALSE)</f>
        <v>선영지</v>
      </c>
    </row>
    <row r="350" spans="1:7" x14ac:dyDescent="0.3">
      <c r="A350" s="2" t="s">
        <v>1372</v>
      </c>
      <c r="B350" s="2" t="s">
        <v>301</v>
      </c>
      <c r="C350" s="2" t="s">
        <v>1373</v>
      </c>
      <c r="D350" s="2" t="s">
        <v>1374</v>
      </c>
      <c r="E350" s="2">
        <v>365</v>
      </c>
      <c r="F350" s="9">
        <v>67000</v>
      </c>
      <c r="G350" s="2" t="str">
        <f>VLOOKUP(표4[[#This Row],[강사번호]],표2[],2,FALSE)</f>
        <v>민우연</v>
      </c>
    </row>
    <row r="351" spans="1:7" x14ac:dyDescent="0.3">
      <c r="A351" s="2" t="s">
        <v>1375</v>
      </c>
      <c r="B351" s="2" t="s">
        <v>307</v>
      </c>
      <c r="C351" s="2" t="s">
        <v>1376</v>
      </c>
      <c r="D351" s="2" t="s">
        <v>1377</v>
      </c>
      <c r="E351" s="2">
        <v>60</v>
      </c>
      <c r="F351" s="9">
        <v>91000</v>
      </c>
      <c r="G351" s="2" t="str">
        <f>VLOOKUP(표4[[#This Row],[강사번호]],표2[],2,FALSE)</f>
        <v>김영민</v>
      </c>
    </row>
    <row r="352" spans="1:7" x14ac:dyDescent="0.3">
      <c r="A352" s="2" t="s">
        <v>1378</v>
      </c>
      <c r="B352" s="2" t="s">
        <v>301</v>
      </c>
      <c r="C352" s="2" t="s">
        <v>1379</v>
      </c>
      <c r="D352" s="2" t="s">
        <v>1380</v>
      </c>
      <c r="E352" s="2">
        <v>1095</v>
      </c>
      <c r="F352" s="9">
        <v>645000</v>
      </c>
      <c r="G352" s="2" t="str">
        <f>VLOOKUP(표4[[#This Row],[강사번호]],표2[],2,FALSE)</f>
        <v>민우연</v>
      </c>
    </row>
    <row r="353" spans="1:7" x14ac:dyDescent="0.3">
      <c r="A353" s="2" t="s">
        <v>1381</v>
      </c>
      <c r="B353" s="2" t="s">
        <v>307</v>
      </c>
      <c r="C353" s="2" t="s">
        <v>1382</v>
      </c>
      <c r="D353" s="2" t="s">
        <v>1383</v>
      </c>
      <c r="E353" s="2">
        <v>30</v>
      </c>
      <c r="F353" s="9">
        <v>780000</v>
      </c>
      <c r="G353" s="2" t="str">
        <f>VLOOKUP(표4[[#This Row],[강사번호]],표2[],2,FALSE)</f>
        <v>김영민</v>
      </c>
    </row>
    <row r="354" spans="1:7" x14ac:dyDescent="0.3">
      <c r="A354" s="2" t="s">
        <v>1384</v>
      </c>
      <c r="B354" s="2" t="s">
        <v>307</v>
      </c>
      <c r="C354" s="2" t="s">
        <v>1385</v>
      </c>
      <c r="D354" s="2" t="s">
        <v>1386</v>
      </c>
      <c r="E354" s="2">
        <v>90</v>
      </c>
      <c r="F354" s="9">
        <v>34000</v>
      </c>
      <c r="G354" s="2" t="str">
        <f>VLOOKUP(표4[[#This Row],[강사번호]],표2[],2,FALSE)</f>
        <v>김영민</v>
      </c>
    </row>
    <row r="355" spans="1:7" x14ac:dyDescent="0.3">
      <c r="A355" s="2" t="s">
        <v>1387</v>
      </c>
      <c r="B355" s="2" t="s">
        <v>313</v>
      </c>
      <c r="C355" s="2" t="s">
        <v>1382</v>
      </c>
      <c r="D355" s="2" t="s">
        <v>1388</v>
      </c>
      <c r="E355" s="2">
        <v>21</v>
      </c>
      <c r="F355" s="9">
        <v>68000</v>
      </c>
      <c r="G355" s="2" t="str">
        <f>VLOOKUP(표4[[#This Row],[강사번호]],표2[],2,FALSE)</f>
        <v>선영지</v>
      </c>
    </row>
    <row r="356" spans="1:7" x14ac:dyDescent="0.3">
      <c r="A356" s="2" t="s">
        <v>1389</v>
      </c>
      <c r="B356" s="2" t="s">
        <v>313</v>
      </c>
      <c r="C356" s="2" t="s">
        <v>1390</v>
      </c>
      <c r="D356" s="2" t="s">
        <v>1391</v>
      </c>
      <c r="E356" s="2">
        <v>28</v>
      </c>
      <c r="F356" s="9">
        <v>91000</v>
      </c>
      <c r="G356" s="2" t="str">
        <f>VLOOKUP(표4[[#This Row],[강사번호]],표2[],2,FALSE)</f>
        <v>선영지</v>
      </c>
    </row>
    <row r="357" spans="1:7" x14ac:dyDescent="0.3">
      <c r="A357" s="2" t="s">
        <v>1392</v>
      </c>
      <c r="B357" s="2" t="s">
        <v>313</v>
      </c>
      <c r="C357" s="2" t="s">
        <v>1393</v>
      </c>
      <c r="D357" s="2" t="s">
        <v>1394</v>
      </c>
      <c r="E357" s="2">
        <v>14</v>
      </c>
      <c r="F357" s="9">
        <v>73000</v>
      </c>
      <c r="G357" s="2" t="str">
        <f>VLOOKUP(표4[[#This Row],[강사번호]],표2[],2,FALSE)</f>
        <v>선영지</v>
      </c>
    </row>
    <row r="358" spans="1:7" x14ac:dyDescent="0.3">
      <c r="A358" s="2" t="s">
        <v>1395</v>
      </c>
      <c r="B358" s="2" t="s">
        <v>307</v>
      </c>
      <c r="C358" s="2" t="s">
        <v>1396</v>
      </c>
      <c r="D358" s="2" t="s">
        <v>1397</v>
      </c>
      <c r="E358" s="2">
        <v>150</v>
      </c>
      <c r="F358" s="9">
        <v>980000</v>
      </c>
      <c r="G358" s="2" t="str">
        <f>VLOOKUP(표4[[#This Row],[강사번호]],표2[],2,FALSE)</f>
        <v>김영민</v>
      </c>
    </row>
    <row r="359" spans="1:7" x14ac:dyDescent="0.3">
      <c r="A359" s="2" t="s">
        <v>1398</v>
      </c>
      <c r="B359" s="2" t="s">
        <v>301</v>
      </c>
      <c r="C359" s="2" t="s">
        <v>1399</v>
      </c>
      <c r="D359" s="2" t="s">
        <v>1400</v>
      </c>
      <c r="E359" s="2">
        <v>365</v>
      </c>
      <c r="F359" s="9">
        <v>65000</v>
      </c>
      <c r="G359" s="2" t="str">
        <f>VLOOKUP(표4[[#This Row],[강사번호]],표2[],2,FALSE)</f>
        <v>민우연</v>
      </c>
    </row>
    <row r="360" spans="1:7" x14ac:dyDescent="0.3">
      <c r="A360" s="2" t="s">
        <v>1401</v>
      </c>
      <c r="B360" s="2" t="s">
        <v>301</v>
      </c>
      <c r="C360" s="2" t="s">
        <v>1402</v>
      </c>
      <c r="D360" s="2" t="s">
        <v>1403</v>
      </c>
      <c r="E360" s="2">
        <v>730</v>
      </c>
      <c r="F360" s="9">
        <v>15000</v>
      </c>
      <c r="G360" s="2" t="str">
        <f>VLOOKUP(표4[[#This Row],[강사번호]],표2[],2,FALSE)</f>
        <v>민우연</v>
      </c>
    </row>
    <row r="361" spans="1:7" x14ac:dyDescent="0.3">
      <c r="A361" s="2" t="s">
        <v>1404</v>
      </c>
      <c r="B361" s="2" t="s">
        <v>307</v>
      </c>
      <c r="C361" s="2" t="s">
        <v>1405</v>
      </c>
      <c r="D361" s="2" t="s">
        <v>1406</v>
      </c>
      <c r="E361" s="2">
        <v>60</v>
      </c>
      <c r="F361" s="9">
        <v>37000</v>
      </c>
      <c r="G361" s="2" t="str">
        <f>VLOOKUP(표4[[#This Row],[강사번호]],표2[],2,FALSE)</f>
        <v>김영민</v>
      </c>
    </row>
    <row r="362" spans="1:7" x14ac:dyDescent="0.3">
      <c r="F362" s="9"/>
      <c r="G362" s="1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6" r:id="rId3" name="Label2">
          <controlPr autoLine="0" r:id="rId4">
            <anchor moveWithCells="1">
              <from>
                <xdr:col>10</xdr:col>
                <xdr:colOff>323850</xdr:colOff>
                <xdr:row>3</xdr:row>
                <xdr:rowOff>123825</xdr:rowOff>
              </from>
              <to>
                <xdr:col>11</xdr:col>
                <xdr:colOff>161925</xdr:colOff>
                <xdr:row>4</xdr:row>
                <xdr:rowOff>142875</xdr:rowOff>
              </to>
            </anchor>
          </controlPr>
        </control>
      </mc:Choice>
      <mc:Fallback>
        <control shapeId="5126" r:id="rId3" name="Label2"/>
      </mc:Fallback>
    </mc:AlternateContent>
    <mc:AlternateContent xmlns:mc="http://schemas.openxmlformats.org/markup-compatibility/2006">
      <mc:Choice Requires="x14">
        <control shapeId="5125" r:id="rId5" name="Label1">
          <controlPr autoLine="0" r:id="rId6">
            <anchor moveWithCells="1">
              <from>
                <xdr:col>8</xdr:col>
                <xdr:colOff>28575</xdr:colOff>
                <xdr:row>3</xdr:row>
                <xdr:rowOff>123825</xdr:rowOff>
              </from>
              <to>
                <xdr:col>8</xdr:col>
                <xdr:colOff>552450</xdr:colOff>
                <xdr:row>4</xdr:row>
                <xdr:rowOff>142875</xdr:rowOff>
              </to>
            </anchor>
          </controlPr>
        </control>
      </mc:Choice>
      <mc:Fallback>
        <control shapeId="5125" r:id="rId5" name="Label1"/>
      </mc:Fallback>
    </mc:AlternateContent>
    <mc:AlternateContent xmlns:mc="http://schemas.openxmlformats.org/markup-compatibility/2006">
      <mc:Choice Requires="x14">
        <control shapeId="5124" r:id="rId7" name="ComboBox2">
          <controlPr autoLine="0" r:id="rId8">
            <anchor moveWithCells="1">
              <from>
                <xdr:col>11</xdr:col>
                <xdr:colOff>209550</xdr:colOff>
                <xdr:row>3</xdr:row>
                <xdr:rowOff>66675</xdr:rowOff>
              </from>
              <to>
                <xdr:col>12</xdr:col>
                <xdr:colOff>438150</xdr:colOff>
                <xdr:row>4</xdr:row>
                <xdr:rowOff>85725</xdr:rowOff>
              </to>
            </anchor>
          </controlPr>
        </control>
      </mc:Choice>
      <mc:Fallback>
        <control shapeId="5124" r:id="rId7" name="ComboBox2"/>
      </mc:Fallback>
    </mc:AlternateContent>
    <mc:AlternateContent xmlns:mc="http://schemas.openxmlformats.org/markup-compatibility/2006">
      <mc:Choice Requires="x14">
        <control shapeId="5123" r:id="rId9" name="ComboBox1">
          <controlPr autoLine="0" r:id="rId10">
            <anchor moveWithCells="1">
              <from>
                <xdr:col>8</xdr:col>
                <xdr:colOff>581025</xdr:colOff>
                <xdr:row>3</xdr:row>
                <xdr:rowOff>66675</xdr:rowOff>
              </from>
              <to>
                <xdr:col>10</xdr:col>
                <xdr:colOff>123825</xdr:colOff>
                <xdr:row>4</xdr:row>
                <xdr:rowOff>85725</xdr:rowOff>
              </to>
            </anchor>
          </controlPr>
        </control>
      </mc:Choice>
      <mc:Fallback>
        <control shapeId="5123" r:id="rId9" name="ComboBox1"/>
      </mc:Fallback>
    </mc:AlternateContent>
    <mc:AlternateContent xmlns:mc="http://schemas.openxmlformats.org/markup-compatibility/2006">
      <mc:Choice Requires="x14">
        <control shapeId="5122" r:id="rId11" name="CommandButton2">
          <controlPr autoLine="0" r:id="rId12">
            <anchor moveWithCells="1">
              <from>
                <xdr:col>7</xdr:col>
                <xdr:colOff>0</xdr:colOff>
                <xdr:row>2</xdr:row>
                <xdr:rowOff>133350</xdr:rowOff>
              </from>
              <to>
                <xdr:col>8</xdr:col>
                <xdr:colOff>533400</xdr:colOff>
                <xdr:row>4</xdr:row>
                <xdr:rowOff>85725</xdr:rowOff>
              </to>
            </anchor>
          </controlPr>
        </control>
      </mc:Choice>
      <mc:Fallback>
        <control shapeId="5122" r:id="rId11" name="CommandButton2"/>
      </mc:Fallback>
    </mc:AlternateContent>
    <mc:AlternateContent xmlns:mc="http://schemas.openxmlformats.org/markup-compatibility/2006">
      <mc:Choice Requires="x14">
        <control shapeId="5121" r:id="rId13" name="CommandButton1">
          <controlPr autoLine="0" autoPict="0" r:id="rId14">
            <anchor moveWithCells="1">
              <from>
                <xdr:col>6</xdr:col>
                <xdr:colOff>76200</xdr:colOff>
                <xdr:row>0</xdr:row>
                <xdr:rowOff>57150</xdr:rowOff>
              </from>
              <to>
                <xdr:col>8</xdr:col>
                <xdr:colOff>533400</xdr:colOff>
                <xdr:row>2</xdr:row>
                <xdr:rowOff>76200</xdr:rowOff>
              </to>
            </anchor>
          </controlPr>
        </control>
      </mc:Choice>
      <mc:Fallback>
        <control shapeId="5121" r:id="rId13" name="CommandButton1"/>
      </mc:Fallback>
    </mc:AlternateContent>
  </controls>
  <tableParts count="1"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568"/>
  <sheetViews>
    <sheetView topLeftCell="A537" workbookViewId="0">
      <selection activeCell="C565" sqref="C565"/>
    </sheetView>
  </sheetViews>
  <sheetFormatPr defaultRowHeight="16.5" x14ac:dyDescent="0.3"/>
  <cols>
    <col min="1" max="1" width="5.25" style="2" bestFit="1" customWidth="1"/>
    <col min="2" max="2" width="9" style="2" bestFit="1" customWidth="1"/>
    <col min="3" max="3" width="90.875" style="2" bestFit="1" customWidth="1"/>
    <col min="4" max="4" width="7.125" style="2" bestFit="1" customWidth="1"/>
  </cols>
  <sheetData>
    <row r="1" spans="1:4" x14ac:dyDescent="0.3">
      <c r="A1" s="2" t="s">
        <v>0</v>
      </c>
      <c r="B1" s="2" t="s">
        <v>1437</v>
      </c>
      <c r="C1" s="2" t="s">
        <v>1438</v>
      </c>
      <c r="D1" s="2" t="s">
        <v>1439</v>
      </c>
    </row>
    <row r="2" spans="1:4" x14ac:dyDescent="0.3">
      <c r="A2" s="2">
        <v>1</v>
      </c>
      <c r="B2" s="2" t="s">
        <v>2577</v>
      </c>
      <c r="C2" s="2" t="s">
        <v>1440</v>
      </c>
      <c r="D2" s="2">
        <v>9000</v>
      </c>
    </row>
    <row r="3" spans="1:4" x14ac:dyDescent="0.3">
      <c r="A3" s="2">
        <v>2</v>
      </c>
      <c r="B3" s="2" t="s">
        <v>341</v>
      </c>
      <c r="C3" s="2" t="s">
        <v>1441</v>
      </c>
      <c r="D3" s="2">
        <v>12000</v>
      </c>
    </row>
    <row r="4" spans="1:4" x14ac:dyDescent="0.3">
      <c r="A4" s="2">
        <v>3</v>
      </c>
      <c r="B4" s="2" t="s">
        <v>1423</v>
      </c>
      <c r="C4" s="2" t="s">
        <v>1442</v>
      </c>
      <c r="D4" s="2">
        <v>9500</v>
      </c>
    </row>
    <row r="5" spans="1:4" x14ac:dyDescent="0.3">
      <c r="A5" s="2">
        <v>4</v>
      </c>
      <c r="B5" s="2" t="s">
        <v>1443</v>
      </c>
      <c r="C5" s="2" t="s">
        <v>1444</v>
      </c>
      <c r="D5" s="2">
        <v>9000</v>
      </c>
    </row>
    <row r="6" spans="1:4" x14ac:dyDescent="0.3">
      <c r="A6" s="2">
        <v>5</v>
      </c>
      <c r="B6" s="2" t="s">
        <v>1445</v>
      </c>
      <c r="C6" s="2" t="s">
        <v>1446</v>
      </c>
      <c r="D6" s="2">
        <v>10000</v>
      </c>
    </row>
    <row r="7" spans="1:4" x14ac:dyDescent="0.3">
      <c r="A7" s="2">
        <v>6</v>
      </c>
      <c r="B7" s="2" t="s">
        <v>1447</v>
      </c>
      <c r="C7" s="2" t="s">
        <v>1448</v>
      </c>
      <c r="D7" s="2">
        <v>18500</v>
      </c>
    </row>
    <row r="8" spans="1:4" x14ac:dyDescent="0.3">
      <c r="A8" s="2">
        <v>7</v>
      </c>
      <c r="B8" s="2" t="s">
        <v>1449</v>
      </c>
      <c r="C8" s="2" t="s">
        <v>1450</v>
      </c>
      <c r="D8" s="2">
        <v>8000</v>
      </c>
    </row>
    <row r="9" spans="1:4" x14ac:dyDescent="0.3">
      <c r="A9" s="2">
        <v>8</v>
      </c>
      <c r="B9" s="2" t="s">
        <v>1451</v>
      </c>
      <c r="C9" s="2" t="s">
        <v>1452</v>
      </c>
      <c r="D9" s="2">
        <v>15300</v>
      </c>
    </row>
    <row r="10" spans="1:4" x14ac:dyDescent="0.3">
      <c r="A10" s="2">
        <v>9</v>
      </c>
      <c r="B10" s="2" t="s">
        <v>1453</v>
      </c>
      <c r="C10" s="2" t="s">
        <v>1454</v>
      </c>
      <c r="D10" s="2">
        <v>10000</v>
      </c>
    </row>
    <row r="11" spans="1:4" x14ac:dyDescent="0.3">
      <c r="A11" s="2">
        <v>10</v>
      </c>
      <c r="B11" s="2" t="s">
        <v>1455</v>
      </c>
      <c r="C11" s="2" t="s">
        <v>1456</v>
      </c>
      <c r="D11" s="2">
        <v>15720</v>
      </c>
    </row>
    <row r="12" spans="1:4" x14ac:dyDescent="0.3">
      <c r="A12" s="2">
        <v>11</v>
      </c>
      <c r="B12" s="2" t="s">
        <v>1457</v>
      </c>
      <c r="C12" s="2" t="s">
        <v>1458</v>
      </c>
      <c r="D12" s="2">
        <v>7920</v>
      </c>
    </row>
    <row r="13" spans="1:4" x14ac:dyDescent="0.3">
      <c r="A13" s="2">
        <v>12</v>
      </c>
      <c r="B13" s="2" t="s">
        <v>352</v>
      </c>
      <c r="C13" s="2" t="s">
        <v>1459</v>
      </c>
      <c r="D13" s="2">
        <v>15000</v>
      </c>
    </row>
    <row r="14" spans="1:4" x14ac:dyDescent="0.3">
      <c r="A14" s="2">
        <v>13</v>
      </c>
      <c r="B14" s="2" t="s">
        <v>1460</v>
      </c>
      <c r="C14" s="2" t="s">
        <v>1461</v>
      </c>
      <c r="D14" s="2">
        <v>12600</v>
      </c>
    </row>
    <row r="15" spans="1:4" x14ac:dyDescent="0.3">
      <c r="A15" s="2">
        <v>14</v>
      </c>
      <c r="B15" s="2" t="s">
        <v>1462</v>
      </c>
      <c r="C15" s="2" t="s">
        <v>1463</v>
      </c>
      <c r="D15" s="2">
        <v>16200</v>
      </c>
    </row>
    <row r="16" spans="1:4" x14ac:dyDescent="0.3">
      <c r="A16" s="2">
        <v>15</v>
      </c>
      <c r="B16" s="2" t="s">
        <v>1464</v>
      </c>
      <c r="C16" s="2" t="s">
        <v>1465</v>
      </c>
      <c r="D16" s="2">
        <v>16000</v>
      </c>
    </row>
    <row r="17" spans="1:4" x14ac:dyDescent="0.3">
      <c r="A17" s="2">
        <v>16</v>
      </c>
      <c r="B17" s="2" t="s">
        <v>1466</v>
      </c>
      <c r="C17" s="2" t="s">
        <v>1467</v>
      </c>
      <c r="D17" s="2">
        <v>16200</v>
      </c>
    </row>
    <row r="18" spans="1:4" x14ac:dyDescent="0.3">
      <c r="A18" s="2">
        <v>17</v>
      </c>
      <c r="B18" s="2" t="s">
        <v>1468</v>
      </c>
      <c r="C18" s="2" t="s">
        <v>1469</v>
      </c>
      <c r="D18" s="2">
        <v>13000</v>
      </c>
    </row>
    <row r="19" spans="1:4" x14ac:dyDescent="0.3">
      <c r="A19" s="2">
        <v>18</v>
      </c>
      <c r="B19" s="2" t="s">
        <v>1470</v>
      </c>
      <c r="C19" s="2" t="s">
        <v>1471</v>
      </c>
      <c r="D19" s="2">
        <v>16000</v>
      </c>
    </row>
    <row r="20" spans="1:4" x14ac:dyDescent="0.3">
      <c r="A20" s="2">
        <v>19</v>
      </c>
      <c r="B20" s="2" t="s">
        <v>1472</v>
      </c>
      <c r="C20" s="2" t="s">
        <v>1473</v>
      </c>
      <c r="D20" s="2">
        <v>10800</v>
      </c>
    </row>
    <row r="21" spans="1:4" x14ac:dyDescent="0.3">
      <c r="A21" s="2">
        <v>20</v>
      </c>
      <c r="B21" s="2" t="s">
        <v>1474</v>
      </c>
      <c r="C21" s="2" t="s">
        <v>1475</v>
      </c>
      <c r="D21" s="2">
        <v>9900</v>
      </c>
    </row>
    <row r="22" spans="1:4" x14ac:dyDescent="0.3">
      <c r="A22" s="2">
        <v>21</v>
      </c>
      <c r="B22" s="2" t="s">
        <v>1476</v>
      </c>
      <c r="C22" s="2" t="s">
        <v>1477</v>
      </c>
      <c r="D22" s="2">
        <v>12600</v>
      </c>
    </row>
    <row r="23" spans="1:4" x14ac:dyDescent="0.3">
      <c r="A23" s="2">
        <v>22</v>
      </c>
      <c r="B23" s="2" t="s">
        <v>1478</v>
      </c>
      <c r="C23" s="2" t="s">
        <v>1479</v>
      </c>
      <c r="D23" s="2">
        <v>12150</v>
      </c>
    </row>
    <row r="24" spans="1:4" x14ac:dyDescent="0.3">
      <c r="A24" s="2">
        <v>23</v>
      </c>
      <c r="B24" s="2" t="s">
        <v>1480</v>
      </c>
      <c r="C24" s="2" t="s">
        <v>1481</v>
      </c>
      <c r="D24" s="2">
        <v>33000</v>
      </c>
    </row>
    <row r="25" spans="1:4" x14ac:dyDescent="0.3">
      <c r="A25" s="2">
        <v>24</v>
      </c>
      <c r="B25" s="2" t="s">
        <v>1482</v>
      </c>
      <c r="C25" s="2" t="s">
        <v>1483</v>
      </c>
      <c r="D25" s="2">
        <v>10350</v>
      </c>
    </row>
    <row r="26" spans="1:4" x14ac:dyDescent="0.3">
      <c r="A26" s="2">
        <v>25</v>
      </c>
      <c r="B26" s="2" t="s">
        <v>378</v>
      </c>
      <c r="C26" s="2" t="s">
        <v>1484</v>
      </c>
      <c r="D26" s="2">
        <v>19800</v>
      </c>
    </row>
    <row r="27" spans="1:4" x14ac:dyDescent="0.3">
      <c r="A27" s="2">
        <v>26</v>
      </c>
      <c r="B27" s="2" t="s">
        <v>1485</v>
      </c>
      <c r="C27" s="2" t="s">
        <v>1486</v>
      </c>
      <c r="D27" s="2">
        <v>10800</v>
      </c>
    </row>
    <row r="28" spans="1:4" x14ac:dyDescent="0.3">
      <c r="A28" s="2">
        <v>27</v>
      </c>
      <c r="B28" s="2" t="s">
        <v>1487</v>
      </c>
      <c r="C28" s="2" t="s">
        <v>1488</v>
      </c>
      <c r="D28" s="2">
        <v>13500</v>
      </c>
    </row>
    <row r="29" spans="1:4" x14ac:dyDescent="0.3">
      <c r="A29" s="2">
        <v>28</v>
      </c>
      <c r="B29" s="2" t="s">
        <v>387</v>
      </c>
      <c r="C29" s="2" t="s">
        <v>1489</v>
      </c>
      <c r="D29" s="2">
        <v>12150</v>
      </c>
    </row>
    <row r="30" spans="1:4" x14ac:dyDescent="0.3">
      <c r="A30" s="2">
        <v>29</v>
      </c>
      <c r="B30" s="2" t="s">
        <v>1490</v>
      </c>
      <c r="C30" s="2" t="s">
        <v>1491</v>
      </c>
      <c r="D30" s="2">
        <v>10800</v>
      </c>
    </row>
    <row r="31" spans="1:4" x14ac:dyDescent="0.3">
      <c r="A31" s="2">
        <v>30</v>
      </c>
      <c r="B31" s="2" t="s">
        <v>1492</v>
      </c>
      <c r="C31" s="2" t="s">
        <v>1493</v>
      </c>
      <c r="D31" s="2">
        <v>7500</v>
      </c>
    </row>
    <row r="32" spans="1:4" x14ac:dyDescent="0.3">
      <c r="A32" s="2">
        <v>31</v>
      </c>
      <c r="B32" s="2" t="s">
        <v>1494</v>
      </c>
      <c r="C32" s="2" t="s">
        <v>1495</v>
      </c>
      <c r="D32" s="2">
        <v>8600</v>
      </c>
    </row>
    <row r="33" spans="1:4" x14ac:dyDescent="0.3">
      <c r="A33" s="2">
        <v>32</v>
      </c>
      <c r="B33" s="2" t="s">
        <v>1496</v>
      </c>
      <c r="C33" s="2" t="s">
        <v>1497</v>
      </c>
      <c r="D33" s="2">
        <v>22320</v>
      </c>
    </row>
    <row r="34" spans="1:4" x14ac:dyDescent="0.3">
      <c r="A34" s="2">
        <v>33</v>
      </c>
      <c r="B34" s="2" t="s">
        <v>1498</v>
      </c>
      <c r="C34" s="2" t="s">
        <v>1499</v>
      </c>
      <c r="D34" s="2">
        <v>16420</v>
      </c>
    </row>
    <row r="35" spans="1:4" x14ac:dyDescent="0.3">
      <c r="A35" s="2">
        <v>34</v>
      </c>
      <c r="B35" s="2" t="s">
        <v>1500</v>
      </c>
      <c r="C35" s="2" t="s">
        <v>1501</v>
      </c>
      <c r="D35" s="2">
        <v>12000</v>
      </c>
    </row>
    <row r="36" spans="1:4" x14ac:dyDescent="0.3">
      <c r="A36" s="2">
        <v>35</v>
      </c>
      <c r="B36" s="2" t="s">
        <v>1502</v>
      </c>
      <c r="C36" s="2" t="s">
        <v>1503</v>
      </c>
      <c r="D36" s="2">
        <v>12150</v>
      </c>
    </row>
    <row r="37" spans="1:4" x14ac:dyDescent="0.3">
      <c r="A37" s="2">
        <v>36</v>
      </c>
      <c r="B37" s="2" t="s">
        <v>1504</v>
      </c>
      <c r="C37" s="2" t="s">
        <v>1505</v>
      </c>
      <c r="D37" s="2">
        <v>10800</v>
      </c>
    </row>
    <row r="38" spans="1:4" x14ac:dyDescent="0.3">
      <c r="A38" s="2">
        <v>37</v>
      </c>
      <c r="B38" s="2" t="s">
        <v>402</v>
      </c>
      <c r="C38" s="2" t="s">
        <v>1506</v>
      </c>
      <c r="D38" s="2">
        <v>9900</v>
      </c>
    </row>
    <row r="39" spans="1:4" x14ac:dyDescent="0.3">
      <c r="A39" s="2">
        <v>38</v>
      </c>
      <c r="B39" s="2" t="s">
        <v>1507</v>
      </c>
      <c r="C39" s="2" t="s">
        <v>1508</v>
      </c>
      <c r="D39" s="2">
        <v>10800</v>
      </c>
    </row>
    <row r="40" spans="1:4" x14ac:dyDescent="0.3">
      <c r="A40" s="2">
        <v>39</v>
      </c>
      <c r="B40" s="2" t="s">
        <v>1509</v>
      </c>
      <c r="C40" s="2" t="s">
        <v>1510</v>
      </c>
      <c r="D40" s="2">
        <v>22320</v>
      </c>
    </row>
    <row r="41" spans="1:4" x14ac:dyDescent="0.3">
      <c r="A41" s="2">
        <v>40</v>
      </c>
      <c r="B41" s="2" t="s">
        <v>1511</v>
      </c>
      <c r="C41" s="2" t="s">
        <v>1512</v>
      </c>
      <c r="D41" s="2">
        <v>15300</v>
      </c>
    </row>
    <row r="42" spans="1:4" x14ac:dyDescent="0.3">
      <c r="A42" s="2">
        <v>41</v>
      </c>
      <c r="B42" s="2" t="s">
        <v>417</v>
      </c>
      <c r="C42" s="2" t="s">
        <v>1513</v>
      </c>
      <c r="D42" s="2">
        <v>12600</v>
      </c>
    </row>
    <row r="43" spans="1:4" x14ac:dyDescent="0.3">
      <c r="A43" s="2">
        <v>42</v>
      </c>
      <c r="B43" s="2" t="s">
        <v>1514</v>
      </c>
      <c r="C43" s="2" t="s">
        <v>1515</v>
      </c>
      <c r="D43" s="2">
        <v>17820</v>
      </c>
    </row>
    <row r="44" spans="1:4" x14ac:dyDescent="0.3">
      <c r="A44" s="2">
        <v>43</v>
      </c>
      <c r="B44" s="2" t="s">
        <v>1516</v>
      </c>
      <c r="C44" s="2" t="s">
        <v>1517</v>
      </c>
      <c r="D44" s="2">
        <v>16850</v>
      </c>
    </row>
    <row r="45" spans="1:4" x14ac:dyDescent="0.3">
      <c r="A45" s="2">
        <v>44</v>
      </c>
      <c r="B45" s="2" t="s">
        <v>1518</v>
      </c>
      <c r="C45" s="2" t="s">
        <v>1519</v>
      </c>
      <c r="D45" s="2">
        <v>14250</v>
      </c>
    </row>
    <row r="46" spans="1:4" x14ac:dyDescent="0.3">
      <c r="A46" s="2">
        <v>45</v>
      </c>
      <c r="B46" s="2" t="s">
        <v>1520</v>
      </c>
      <c r="C46" s="2" t="s">
        <v>1521</v>
      </c>
      <c r="D46" s="2">
        <v>19200</v>
      </c>
    </row>
    <row r="47" spans="1:4" x14ac:dyDescent="0.3">
      <c r="A47" s="2">
        <v>46</v>
      </c>
      <c r="B47" s="2" t="s">
        <v>1522</v>
      </c>
      <c r="C47" s="2" t="s">
        <v>1523</v>
      </c>
      <c r="D47" s="2">
        <v>20000</v>
      </c>
    </row>
    <row r="48" spans="1:4" x14ac:dyDescent="0.3">
      <c r="A48" s="2">
        <v>47</v>
      </c>
      <c r="B48" s="2" t="s">
        <v>420</v>
      </c>
      <c r="C48" s="2" t="s">
        <v>1524</v>
      </c>
      <c r="D48" s="2">
        <v>17100</v>
      </c>
    </row>
    <row r="49" spans="1:4" x14ac:dyDescent="0.3">
      <c r="A49" s="2">
        <v>48</v>
      </c>
      <c r="B49" s="2" t="s">
        <v>1525</v>
      </c>
      <c r="C49" s="2" t="s">
        <v>1526</v>
      </c>
      <c r="D49" s="2">
        <v>8200</v>
      </c>
    </row>
    <row r="50" spans="1:4" x14ac:dyDescent="0.3">
      <c r="A50" s="2">
        <v>49</v>
      </c>
      <c r="B50" s="2" t="s">
        <v>423</v>
      </c>
      <c r="C50" s="2" t="s">
        <v>1527</v>
      </c>
      <c r="D50" s="2">
        <v>14400</v>
      </c>
    </row>
    <row r="51" spans="1:4" x14ac:dyDescent="0.3">
      <c r="A51" s="2">
        <v>50</v>
      </c>
      <c r="B51" s="2" t="s">
        <v>1528</v>
      </c>
      <c r="C51" s="2" t="s">
        <v>1529</v>
      </c>
      <c r="D51" s="2">
        <v>15000</v>
      </c>
    </row>
    <row r="52" spans="1:4" x14ac:dyDescent="0.3">
      <c r="A52" s="2">
        <v>51</v>
      </c>
      <c r="B52" s="2" t="s">
        <v>1530</v>
      </c>
      <c r="C52" s="2" t="s">
        <v>1531</v>
      </c>
      <c r="D52" s="2">
        <v>10000</v>
      </c>
    </row>
    <row r="53" spans="1:4" x14ac:dyDescent="0.3">
      <c r="A53" s="2">
        <v>52</v>
      </c>
      <c r="B53" s="2" t="s">
        <v>1532</v>
      </c>
      <c r="C53" s="2" t="s">
        <v>1533</v>
      </c>
      <c r="D53" s="2">
        <v>11700</v>
      </c>
    </row>
    <row r="54" spans="1:4" x14ac:dyDescent="0.3">
      <c r="A54" s="2">
        <v>53</v>
      </c>
      <c r="B54" s="2" t="s">
        <v>426</v>
      </c>
      <c r="C54" s="2" t="s">
        <v>1534</v>
      </c>
      <c r="D54" s="2">
        <v>14850</v>
      </c>
    </row>
    <row r="55" spans="1:4" x14ac:dyDescent="0.3">
      <c r="A55" s="2">
        <v>54</v>
      </c>
      <c r="B55" s="2" t="s">
        <v>1535</v>
      </c>
      <c r="C55" s="2" t="s">
        <v>1536</v>
      </c>
      <c r="D55" s="2">
        <v>6660</v>
      </c>
    </row>
    <row r="56" spans="1:4" x14ac:dyDescent="0.3">
      <c r="A56" s="2">
        <v>55</v>
      </c>
      <c r="B56" s="2" t="s">
        <v>1537</v>
      </c>
      <c r="C56" s="2" t="s">
        <v>1538</v>
      </c>
      <c r="D56" s="2">
        <v>8100</v>
      </c>
    </row>
    <row r="57" spans="1:4" x14ac:dyDescent="0.3">
      <c r="A57" s="2">
        <v>56</v>
      </c>
      <c r="B57" s="2" t="s">
        <v>1539</v>
      </c>
      <c r="C57" s="2" t="s">
        <v>1540</v>
      </c>
      <c r="D57" s="2">
        <v>7700</v>
      </c>
    </row>
    <row r="58" spans="1:4" x14ac:dyDescent="0.3">
      <c r="A58" s="2">
        <v>57</v>
      </c>
      <c r="B58" s="2" t="s">
        <v>1541</v>
      </c>
      <c r="C58" s="2" t="s">
        <v>1542</v>
      </c>
      <c r="D58" s="2">
        <v>12600</v>
      </c>
    </row>
    <row r="59" spans="1:4" x14ac:dyDescent="0.3">
      <c r="A59" s="2">
        <v>58</v>
      </c>
      <c r="B59" s="2" t="s">
        <v>1420</v>
      </c>
      <c r="C59" s="2" t="s">
        <v>1543</v>
      </c>
      <c r="D59" s="2">
        <v>13500</v>
      </c>
    </row>
    <row r="60" spans="1:4" x14ac:dyDescent="0.3">
      <c r="A60" s="2">
        <v>59</v>
      </c>
      <c r="B60" s="2" t="s">
        <v>1544</v>
      </c>
      <c r="C60" s="2" t="s">
        <v>1545</v>
      </c>
      <c r="D60" s="2">
        <v>9900</v>
      </c>
    </row>
    <row r="61" spans="1:4" x14ac:dyDescent="0.3">
      <c r="A61" s="2">
        <v>60</v>
      </c>
      <c r="B61" s="2" t="s">
        <v>444</v>
      </c>
      <c r="C61" s="2" t="s">
        <v>1546</v>
      </c>
      <c r="D61" s="2">
        <v>13500</v>
      </c>
    </row>
    <row r="62" spans="1:4" x14ac:dyDescent="0.3">
      <c r="A62" s="2">
        <v>61</v>
      </c>
      <c r="B62" s="2" t="s">
        <v>1547</v>
      </c>
      <c r="C62" s="2" t="s">
        <v>1548</v>
      </c>
      <c r="D62" s="2">
        <v>11700</v>
      </c>
    </row>
    <row r="63" spans="1:4" x14ac:dyDescent="0.3">
      <c r="A63" s="2">
        <v>62</v>
      </c>
      <c r="B63" s="2" t="s">
        <v>447</v>
      </c>
      <c r="C63" s="2" t="s">
        <v>1549</v>
      </c>
      <c r="D63" s="2">
        <v>26000</v>
      </c>
    </row>
    <row r="64" spans="1:4" x14ac:dyDescent="0.3">
      <c r="A64" s="2">
        <v>63</v>
      </c>
      <c r="B64" s="2" t="s">
        <v>1550</v>
      </c>
      <c r="C64" s="2" t="s">
        <v>1551</v>
      </c>
      <c r="D64" s="2">
        <v>15000</v>
      </c>
    </row>
    <row r="65" spans="1:4" x14ac:dyDescent="0.3">
      <c r="A65" s="2">
        <v>64</v>
      </c>
      <c r="B65" s="2" t="s">
        <v>1552</v>
      </c>
      <c r="C65" s="2" t="s">
        <v>1553</v>
      </c>
      <c r="D65" s="2">
        <v>6000</v>
      </c>
    </row>
    <row r="66" spans="1:4" x14ac:dyDescent="0.3">
      <c r="A66" s="2">
        <v>65</v>
      </c>
      <c r="B66" s="2" t="s">
        <v>1554</v>
      </c>
      <c r="C66" s="2" t="s">
        <v>1555</v>
      </c>
      <c r="D66" s="2">
        <v>7920</v>
      </c>
    </row>
    <row r="67" spans="1:4" x14ac:dyDescent="0.3">
      <c r="A67" s="2">
        <v>66</v>
      </c>
      <c r="B67" s="2" t="s">
        <v>1556</v>
      </c>
      <c r="C67" s="2" t="s">
        <v>1557</v>
      </c>
      <c r="D67" s="2">
        <v>13500</v>
      </c>
    </row>
    <row r="68" spans="1:4" x14ac:dyDescent="0.3">
      <c r="A68" s="2">
        <v>67</v>
      </c>
      <c r="B68" s="2" t="s">
        <v>1558</v>
      </c>
      <c r="C68" s="2" t="s">
        <v>1559</v>
      </c>
      <c r="D68" s="2">
        <v>8550</v>
      </c>
    </row>
    <row r="69" spans="1:4" x14ac:dyDescent="0.3">
      <c r="A69" s="2">
        <v>68</v>
      </c>
      <c r="B69" s="2" t="s">
        <v>1560</v>
      </c>
      <c r="C69" s="2" t="s">
        <v>1561</v>
      </c>
      <c r="D69" s="2">
        <v>11700</v>
      </c>
    </row>
    <row r="70" spans="1:4" x14ac:dyDescent="0.3">
      <c r="A70" s="2">
        <v>69</v>
      </c>
      <c r="B70" s="2" t="s">
        <v>1433</v>
      </c>
      <c r="C70" s="2" t="s">
        <v>1562</v>
      </c>
      <c r="D70" s="2">
        <v>10800</v>
      </c>
    </row>
    <row r="71" spans="1:4" x14ac:dyDescent="0.3">
      <c r="A71" s="2">
        <v>70</v>
      </c>
      <c r="B71" s="2" t="s">
        <v>1563</v>
      </c>
      <c r="C71" s="2" t="s">
        <v>1564</v>
      </c>
      <c r="D71" s="2">
        <v>17000</v>
      </c>
    </row>
    <row r="72" spans="1:4" x14ac:dyDescent="0.3">
      <c r="A72" s="2">
        <v>71</v>
      </c>
      <c r="B72" s="2" t="s">
        <v>1565</v>
      </c>
      <c r="C72" s="2" t="s">
        <v>1566</v>
      </c>
      <c r="D72" s="2">
        <v>26000</v>
      </c>
    </row>
    <row r="73" spans="1:4" x14ac:dyDescent="0.3">
      <c r="A73" s="2">
        <v>72</v>
      </c>
      <c r="B73" s="2" t="s">
        <v>1567</v>
      </c>
      <c r="C73" s="2" t="s">
        <v>1568</v>
      </c>
      <c r="D73" s="2">
        <v>9000</v>
      </c>
    </row>
    <row r="74" spans="1:4" x14ac:dyDescent="0.3">
      <c r="A74" s="2">
        <v>73</v>
      </c>
      <c r="B74" s="2" t="s">
        <v>1569</v>
      </c>
      <c r="C74" s="2" t="s">
        <v>1570</v>
      </c>
      <c r="D74" s="2">
        <v>14400</v>
      </c>
    </row>
    <row r="75" spans="1:4" x14ac:dyDescent="0.3">
      <c r="A75" s="2">
        <v>74</v>
      </c>
      <c r="B75" s="2" t="s">
        <v>1571</v>
      </c>
      <c r="C75" s="2" t="s">
        <v>1572</v>
      </c>
      <c r="D75" s="2">
        <v>11700</v>
      </c>
    </row>
    <row r="76" spans="1:4" x14ac:dyDescent="0.3">
      <c r="A76" s="2">
        <v>75</v>
      </c>
      <c r="B76" s="2" t="s">
        <v>471</v>
      </c>
      <c r="C76" s="2" t="s">
        <v>1573</v>
      </c>
      <c r="D76" s="2">
        <v>12600</v>
      </c>
    </row>
    <row r="77" spans="1:4" x14ac:dyDescent="0.3">
      <c r="A77" s="2">
        <v>76</v>
      </c>
      <c r="B77" s="2" t="s">
        <v>1574</v>
      </c>
      <c r="C77" s="2" t="s">
        <v>1575</v>
      </c>
      <c r="D77" s="2">
        <v>10800</v>
      </c>
    </row>
    <row r="78" spans="1:4" x14ac:dyDescent="0.3">
      <c r="A78" s="2">
        <v>77</v>
      </c>
      <c r="B78" s="2" t="s">
        <v>1576</v>
      </c>
      <c r="C78" s="2" t="s">
        <v>1577</v>
      </c>
      <c r="D78" s="2">
        <v>10350</v>
      </c>
    </row>
    <row r="79" spans="1:4" x14ac:dyDescent="0.3">
      <c r="A79" s="2">
        <v>78</v>
      </c>
      <c r="B79" s="2" t="s">
        <v>1578</v>
      </c>
      <c r="C79" s="2" t="s">
        <v>1579</v>
      </c>
      <c r="D79" s="2">
        <v>13500</v>
      </c>
    </row>
    <row r="80" spans="1:4" x14ac:dyDescent="0.3">
      <c r="A80" s="2">
        <v>79</v>
      </c>
      <c r="B80" s="2" t="s">
        <v>486</v>
      </c>
      <c r="C80" s="2" t="s">
        <v>1580</v>
      </c>
      <c r="D80" s="2">
        <v>14850</v>
      </c>
    </row>
    <row r="81" spans="1:4" x14ac:dyDescent="0.3">
      <c r="A81" s="2">
        <v>80</v>
      </c>
      <c r="B81" s="2" t="s">
        <v>1581</v>
      </c>
      <c r="C81" s="2" t="s">
        <v>1582</v>
      </c>
      <c r="D81" s="2">
        <v>14850</v>
      </c>
    </row>
    <row r="82" spans="1:4" x14ac:dyDescent="0.3">
      <c r="A82" s="2">
        <v>81</v>
      </c>
      <c r="B82" s="2" t="s">
        <v>1583</v>
      </c>
      <c r="C82" s="2" t="s">
        <v>1584</v>
      </c>
      <c r="D82" s="2">
        <v>11700</v>
      </c>
    </row>
    <row r="83" spans="1:4" x14ac:dyDescent="0.3">
      <c r="A83" s="2">
        <v>82</v>
      </c>
      <c r="B83" s="2" t="s">
        <v>1585</v>
      </c>
      <c r="C83" s="2" t="s">
        <v>1586</v>
      </c>
      <c r="D83" s="2">
        <v>14310</v>
      </c>
    </row>
    <row r="84" spans="1:4" x14ac:dyDescent="0.3">
      <c r="A84" s="2">
        <v>83</v>
      </c>
      <c r="B84" s="2" t="s">
        <v>1587</v>
      </c>
      <c r="C84" s="2" t="s">
        <v>1588</v>
      </c>
      <c r="D84" s="2">
        <v>7920</v>
      </c>
    </row>
    <row r="85" spans="1:4" x14ac:dyDescent="0.3">
      <c r="A85" s="2">
        <v>84</v>
      </c>
      <c r="B85" s="2" t="s">
        <v>1589</v>
      </c>
      <c r="C85" s="2" t="s">
        <v>1590</v>
      </c>
      <c r="D85" s="2">
        <v>12600</v>
      </c>
    </row>
    <row r="86" spans="1:4" x14ac:dyDescent="0.3">
      <c r="A86" s="2">
        <v>85</v>
      </c>
      <c r="B86" s="2" t="s">
        <v>1591</v>
      </c>
      <c r="C86" s="2" t="s">
        <v>1592</v>
      </c>
      <c r="D86" s="2">
        <v>13500</v>
      </c>
    </row>
    <row r="87" spans="1:4" x14ac:dyDescent="0.3">
      <c r="A87" s="2">
        <v>86</v>
      </c>
      <c r="B87" s="2" t="s">
        <v>1593</v>
      </c>
      <c r="C87" s="2" t="s">
        <v>1594</v>
      </c>
      <c r="D87" s="2">
        <v>15300</v>
      </c>
    </row>
    <row r="88" spans="1:4" x14ac:dyDescent="0.3">
      <c r="A88" s="2">
        <v>87</v>
      </c>
      <c r="B88" s="2" t="s">
        <v>1595</v>
      </c>
      <c r="C88" s="2" t="s">
        <v>1596</v>
      </c>
      <c r="D88" s="2">
        <v>23400</v>
      </c>
    </row>
    <row r="89" spans="1:4" x14ac:dyDescent="0.3">
      <c r="A89" s="2">
        <v>88</v>
      </c>
      <c r="B89" s="2" t="s">
        <v>1597</v>
      </c>
      <c r="C89" s="2" t="s">
        <v>1598</v>
      </c>
      <c r="D89" s="2">
        <v>10800</v>
      </c>
    </row>
    <row r="90" spans="1:4" x14ac:dyDescent="0.3">
      <c r="A90" s="2">
        <v>89</v>
      </c>
      <c r="B90" s="2" t="s">
        <v>1599</v>
      </c>
      <c r="C90" s="2" t="s">
        <v>1600</v>
      </c>
      <c r="D90" s="2">
        <v>10000</v>
      </c>
    </row>
    <row r="91" spans="1:4" x14ac:dyDescent="0.3">
      <c r="A91" s="2">
        <v>90</v>
      </c>
      <c r="B91" s="2" t="s">
        <v>1601</v>
      </c>
      <c r="C91" s="2" t="s">
        <v>1602</v>
      </c>
      <c r="D91" s="2">
        <v>8000</v>
      </c>
    </row>
    <row r="92" spans="1:4" x14ac:dyDescent="0.3">
      <c r="A92" s="2">
        <v>91</v>
      </c>
      <c r="B92" s="2" t="s">
        <v>1603</v>
      </c>
      <c r="C92" s="2" t="s">
        <v>1604</v>
      </c>
      <c r="D92" s="2">
        <v>12420</v>
      </c>
    </row>
    <row r="93" spans="1:4" x14ac:dyDescent="0.3">
      <c r="A93" s="2">
        <v>92</v>
      </c>
      <c r="B93" s="2" t="s">
        <v>518</v>
      </c>
      <c r="C93" s="2" t="s">
        <v>1605</v>
      </c>
      <c r="D93" s="2">
        <v>10800</v>
      </c>
    </row>
    <row r="94" spans="1:4" x14ac:dyDescent="0.3">
      <c r="A94" s="2">
        <v>93</v>
      </c>
      <c r="B94" s="2" t="s">
        <v>1606</v>
      </c>
      <c r="C94" s="2" t="s">
        <v>1607</v>
      </c>
      <c r="D94" s="2">
        <v>5040</v>
      </c>
    </row>
    <row r="95" spans="1:4" x14ac:dyDescent="0.3">
      <c r="A95" s="2">
        <v>94</v>
      </c>
      <c r="B95" s="2" t="s">
        <v>1608</v>
      </c>
      <c r="C95" s="2" t="s">
        <v>1609</v>
      </c>
      <c r="D95" s="2">
        <v>5850</v>
      </c>
    </row>
    <row r="96" spans="1:4" x14ac:dyDescent="0.3">
      <c r="A96" s="2">
        <v>95</v>
      </c>
      <c r="B96" s="2" t="s">
        <v>1610</v>
      </c>
      <c r="C96" s="2" t="s">
        <v>1611</v>
      </c>
      <c r="D96" s="2">
        <v>25200</v>
      </c>
    </row>
    <row r="97" spans="1:4" x14ac:dyDescent="0.3">
      <c r="A97" s="2">
        <v>96</v>
      </c>
      <c r="B97" s="2" t="s">
        <v>1612</v>
      </c>
      <c r="C97" s="2" t="s">
        <v>1613</v>
      </c>
      <c r="D97" s="2">
        <v>14220</v>
      </c>
    </row>
    <row r="98" spans="1:4" x14ac:dyDescent="0.3">
      <c r="A98" s="2">
        <v>97</v>
      </c>
      <c r="B98" s="2" t="s">
        <v>1614</v>
      </c>
      <c r="C98" s="2" t="s">
        <v>1615</v>
      </c>
      <c r="D98" s="2">
        <v>8910</v>
      </c>
    </row>
    <row r="99" spans="1:4" x14ac:dyDescent="0.3">
      <c r="A99" s="2">
        <v>98</v>
      </c>
      <c r="B99" s="2" t="s">
        <v>530</v>
      </c>
      <c r="C99" s="2" t="s">
        <v>1616</v>
      </c>
      <c r="D99" s="2">
        <v>14310</v>
      </c>
    </row>
    <row r="100" spans="1:4" x14ac:dyDescent="0.3">
      <c r="A100" s="2">
        <v>99</v>
      </c>
      <c r="B100" s="2" t="s">
        <v>533</v>
      </c>
      <c r="C100" s="2" t="s">
        <v>1617</v>
      </c>
      <c r="D100" s="2">
        <v>17100</v>
      </c>
    </row>
    <row r="101" spans="1:4" x14ac:dyDescent="0.3">
      <c r="A101" s="2">
        <v>100</v>
      </c>
      <c r="B101" s="2" t="s">
        <v>1618</v>
      </c>
      <c r="C101" s="2" t="s">
        <v>1619</v>
      </c>
      <c r="D101" s="2">
        <v>13950</v>
      </c>
    </row>
    <row r="102" spans="1:4" x14ac:dyDescent="0.3">
      <c r="A102" s="2">
        <v>101</v>
      </c>
      <c r="B102" s="2" t="s">
        <v>539</v>
      </c>
      <c r="C102" s="2" t="s">
        <v>1620</v>
      </c>
      <c r="D102" s="2">
        <v>27900</v>
      </c>
    </row>
    <row r="103" spans="1:4" x14ac:dyDescent="0.3">
      <c r="A103" s="2">
        <v>102</v>
      </c>
      <c r="B103" s="2" t="s">
        <v>1621</v>
      </c>
      <c r="C103" s="2" t="s">
        <v>1622</v>
      </c>
      <c r="D103" s="2">
        <v>27900</v>
      </c>
    </row>
    <row r="104" spans="1:4" x14ac:dyDescent="0.3">
      <c r="A104" s="2">
        <v>103</v>
      </c>
      <c r="B104" s="2" t="s">
        <v>1623</v>
      </c>
      <c r="C104" s="2" t="s">
        <v>1624</v>
      </c>
      <c r="D104" s="2">
        <v>27900</v>
      </c>
    </row>
    <row r="105" spans="1:4" x14ac:dyDescent="0.3">
      <c r="A105" s="2">
        <v>104</v>
      </c>
      <c r="B105" s="2" t="s">
        <v>1625</v>
      </c>
      <c r="C105" s="2" t="s">
        <v>1626</v>
      </c>
      <c r="D105" s="2">
        <v>14400</v>
      </c>
    </row>
    <row r="106" spans="1:4" x14ac:dyDescent="0.3">
      <c r="A106" s="2">
        <v>105</v>
      </c>
      <c r="B106" s="2" t="s">
        <v>1627</v>
      </c>
      <c r="C106" s="2" t="s">
        <v>1628</v>
      </c>
      <c r="D106" s="2">
        <v>16200</v>
      </c>
    </row>
    <row r="107" spans="1:4" x14ac:dyDescent="0.3">
      <c r="A107" s="2">
        <v>106</v>
      </c>
      <c r="B107" s="2" t="s">
        <v>1629</v>
      </c>
      <c r="C107" s="2" t="s">
        <v>1630</v>
      </c>
      <c r="D107" s="2">
        <v>17100</v>
      </c>
    </row>
    <row r="108" spans="1:4" x14ac:dyDescent="0.3">
      <c r="A108" s="2">
        <v>107</v>
      </c>
      <c r="B108" s="2" t="s">
        <v>1631</v>
      </c>
      <c r="C108" s="2" t="s">
        <v>1632</v>
      </c>
      <c r="D108" s="2">
        <v>9000</v>
      </c>
    </row>
    <row r="109" spans="1:4" x14ac:dyDescent="0.3">
      <c r="A109" s="2">
        <v>108</v>
      </c>
      <c r="B109" s="2" t="s">
        <v>1633</v>
      </c>
      <c r="C109" s="2" t="s">
        <v>1634</v>
      </c>
      <c r="D109" s="2">
        <v>17100</v>
      </c>
    </row>
    <row r="110" spans="1:4" x14ac:dyDescent="0.3">
      <c r="A110" s="2">
        <v>109</v>
      </c>
      <c r="B110" s="2" t="s">
        <v>1635</v>
      </c>
      <c r="C110" s="2" t="s">
        <v>1636</v>
      </c>
      <c r="D110" s="2">
        <v>19800</v>
      </c>
    </row>
    <row r="111" spans="1:4" x14ac:dyDescent="0.3">
      <c r="A111" s="2">
        <v>110</v>
      </c>
      <c r="B111" s="2" t="s">
        <v>1637</v>
      </c>
      <c r="C111" s="2" t="s">
        <v>1638</v>
      </c>
      <c r="D111" s="2">
        <v>11250</v>
      </c>
    </row>
    <row r="112" spans="1:4" x14ac:dyDescent="0.3">
      <c r="A112" s="2">
        <v>111</v>
      </c>
      <c r="B112" s="2" t="s">
        <v>1639</v>
      </c>
      <c r="C112" s="2" t="s">
        <v>1640</v>
      </c>
      <c r="D112" s="2">
        <v>29700</v>
      </c>
    </row>
    <row r="113" spans="1:4" x14ac:dyDescent="0.3">
      <c r="A113" s="2">
        <v>112</v>
      </c>
      <c r="B113" s="2" t="s">
        <v>557</v>
      </c>
      <c r="C113" s="2" t="s">
        <v>1641</v>
      </c>
      <c r="D113" s="2">
        <v>8000</v>
      </c>
    </row>
    <row r="114" spans="1:4" x14ac:dyDescent="0.3">
      <c r="A114" s="2">
        <v>113</v>
      </c>
      <c r="B114" s="2" t="s">
        <v>1642</v>
      </c>
      <c r="C114" s="2" t="s">
        <v>1643</v>
      </c>
      <c r="D114" s="2">
        <v>10000</v>
      </c>
    </row>
    <row r="115" spans="1:4" x14ac:dyDescent="0.3">
      <c r="A115" s="2">
        <v>114</v>
      </c>
      <c r="B115" s="2" t="s">
        <v>1644</v>
      </c>
      <c r="C115" s="2" t="s">
        <v>1645</v>
      </c>
      <c r="D115" s="2">
        <v>12740</v>
      </c>
    </row>
    <row r="116" spans="1:4" x14ac:dyDescent="0.3">
      <c r="A116" s="2">
        <v>115</v>
      </c>
      <c r="B116" s="2" t="s">
        <v>1646</v>
      </c>
      <c r="C116" s="2" t="s">
        <v>1647</v>
      </c>
      <c r="D116" s="2">
        <v>12000</v>
      </c>
    </row>
    <row r="117" spans="1:4" x14ac:dyDescent="0.3">
      <c r="A117" s="2">
        <v>116</v>
      </c>
      <c r="B117" s="2" t="s">
        <v>566</v>
      </c>
      <c r="C117" s="2" t="s">
        <v>1648</v>
      </c>
      <c r="D117" s="2">
        <v>11700</v>
      </c>
    </row>
    <row r="118" spans="1:4" x14ac:dyDescent="0.3">
      <c r="A118" s="2">
        <v>117</v>
      </c>
      <c r="B118" s="2" t="s">
        <v>1649</v>
      </c>
      <c r="C118" s="2" t="s">
        <v>1650</v>
      </c>
      <c r="D118" s="2">
        <v>5200</v>
      </c>
    </row>
    <row r="119" spans="1:4" x14ac:dyDescent="0.3">
      <c r="A119" s="2">
        <v>118</v>
      </c>
      <c r="B119" s="2" t="s">
        <v>1651</v>
      </c>
      <c r="C119" s="2" t="s">
        <v>1652</v>
      </c>
      <c r="D119" s="2">
        <v>14000</v>
      </c>
    </row>
    <row r="120" spans="1:4" x14ac:dyDescent="0.3">
      <c r="A120" s="2">
        <v>119</v>
      </c>
      <c r="B120" s="2" t="s">
        <v>1653</v>
      </c>
      <c r="C120" s="2" t="s">
        <v>1654</v>
      </c>
      <c r="D120" s="2">
        <v>3300</v>
      </c>
    </row>
    <row r="121" spans="1:4" x14ac:dyDescent="0.3">
      <c r="A121" s="2">
        <v>120</v>
      </c>
      <c r="B121" s="2" t="s">
        <v>1655</v>
      </c>
      <c r="C121" s="2" t="s">
        <v>1656</v>
      </c>
      <c r="D121" s="2">
        <v>15300</v>
      </c>
    </row>
    <row r="122" spans="1:4" x14ac:dyDescent="0.3">
      <c r="A122" s="2">
        <v>121</v>
      </c>
      <c r="B122" s="2" t="s">
        <v>1657</v>
      </c>
      <c r="C122" s="2" t="s">
        <v>1658</v>
      </c>
      <c r="D122" s="2">
        <v>8910</v>
      </c>
    </row>
    <row r="123" spans="1:4" x14ac:dyDescent="0.3">
      <c r="A123" s="2">
        <v>122</v>
      </c>
      <c r="B123" s="2" t="s">
        <v>1419</v>
      </c>
      <c r="C123" s="2" t="s">
        <v>1659</v>
      </c>
      <c r="D123" s="2">
        <v>14310</v>
      </c>
    </row>
    <row r="124" spans="1:4" x14ac:dyDescent="0.3">
      <c r="A124" s="2">
        <v>123</v>
      </c>
      <c r="B124" s="2" t="s">
        <v>1660</v>
      </c>
      <c r="C124" s="2" t="s">
        <v>1661</v>
      </c>
      <c r="D124" s="2">
        <v>13410</v>
      </c>
    </row>
    <row r="125" spans="1:4" x14ac:dyDescent="0.3">
      <c r="A125" s="2">
        <v>124</v>
      </c>
      <c r="B125" s="2" t="s">
        <v>1662</v>
      </c>
      <c r="C125" s="2" t="s">
        <v>1663</v>
      </c>
      <c r="D125" s="2">
        <v>10800</v>
      </c>
    </row>
    <row r="126" spans="1:4" x14ac:dyDescent="0.3">
      <c r="A126" s="2">
        <v>125</v>
      </c>
      <c r="B126" s="2" t="s">
        <v>1664</v>
      </c>
      <c r="C126" s="2" t="s">
        <v>1665</v>
      </c>
      <c r="D126" s="2">
        <v>10800</v>
      </c>
    </row>
    <row r="127" spans="1:4" x14ac:dyDescent="0.3">
      <c r="A127" s="2">
        <v>126</v>
      </c>
      <c r="B127" s="2" t="s">
        <v>1666</v>
      </c>
      <c r="C127" s="2" t="s">
        <v>1667</v>
      </c>
      <c r="D127" s="2">
        <v>21510</v>
      </c>
    </row>
    <row r="128" spans="1:4" x14ac:dyDescent="0.3">
      <c r="A128" s="2">
        <v>127</v>
      </c>
      <c r="B128" s="2" t="s">
        <v>581</v>
      </c>
      <c r="C128" s="2" t="s">
        <v>1668</v>
      </c>
      <c r="D128" s="2">
        <v>19800</v>
      </c>
    </row>
    <row r="129" spans="1:4" x14ac:dyDescent="0.3">
      <c r="A129" s="2">
        <v>128</v>
      </c>
      <c r="B129" s="2" t="s">
        <v>1669</v>
      </c>
      <c r="C129" s="2" t="s">
        <v>1670</v>
      </c>
      <c r="D129" s="2">
        <v>17100</v>
      </c>
    </row>
    <row r="130" spans="1:4" x14ac:dyDescent="0.3">
      <c r="A130" s="2">
        <v>129</v>
      </c>
      <c r="B130" s="2" t="s">
        <v>1671</v>
      </c>
      <c r="C130" s="2" t="s">
        <v>1672</v>
      </c>
      <c r="D130" s="2">
        <v>13650</v>
      </c>
    </row>
    <row r="131" spans="1:4" x14ac:dyDescent="0.3">
      <c r="A131" s="2">
        <v>130</v>
      </c>
      <c r="B131" s="2" t="s">
        <v>1673</v>
      </c>
      <c r="C131" s="2" t="s">
        <v>1674</v>
      </c>
      <c r="D131" s="2">
        <v>15750</v>
      </c>
    </row>
    <row r="132" spans="1:4" x14ac:dyDescent="0.3">
      <c r="A132" s="2">
        <v>131</v>
      </c>
      <c r="B132" s="2" t="s">
        <v>1675</v>
      </c>
      <c r="C132" s="2" t="s">
        <v>1676</v>
      </c>
      <c r="D132" s="2">
        <v>16110</v>
      </c>
    </row>
    <row r="133" spans="1:4" x14ac:dyDescent="0.3">
      <c r="A133" s="2">
        <v>132</v>
      </c>
      <c r="B133" s="2" t="s">
        <v>1677</v>
      </c>
      <c r="C133" s="2" t="s">
        <v>1678</v>
      </c>
      <c r="D133" s="2">
        <v>9000</v>
      </c>
    </row>
    <row r="134" spans="1:4" x14ac:dyDescent="0.3">
      <c r="A134" s="2">
        <v>133</v>
      </c>
      <c r="B134" s="2" t="s">
        <v>596</v>
      </c>
      <c r="C134" s="2" t="s">
        <v>1679</v>
      </c>
      <c r="D134" s="2">
        <v>4500</v>
      </c>
    </row>
    <row r="135" spans="1:4" x14ac:dyDescent="0.3">
      <c r="A135" s="2">
        <v>134</v>
      </c>
      <c r="B135" s="2" t="s">
        <v>1680</v>
      </c>
      <c r="C135" s="2" t="s">
        <v>1681</v>
      </c>
      <c r="D135" s="2">
        <v>4950</v>
      </c>
    </row>
    <row r="136" spans="1:4" x14ac:dyDescent="0.3">
      <c r="A136" s="2">
        <v>135</v>
      </c>
      <c r="B136" s="2" t="s">
        <v>1682</v>
      </c>
      <c r="C136" s="2" t="s">
        <v>1683</v>
      </c>
      <c r="D136" s="2">
        <v>14400</v>
      </c>
    </row>
    <row r="137" spans="1:4" x14ac:dyDescent="0.3">
      <c r="A137" s="2">
        <v>136</v>
      </c>
      <c r="B137" s="2" t="s">
        <v>602</v>
      </c>
      <c r="C137" s="2" t="s">
        <v>1684</v>
      </c>
      <c r="D137" s="2">
        <v>7200</v>
      </c>
    </row>
    <row r="138" spans="1:4" x14ac:dyDescent="0.3">
      <c r="A138" s="2">
        <v>137</v>
      </c>
      <c r="B138" s="2" t="s">
        <v>605</v>
      </c>
      <c r="C138" s="2" t="s">
        <v>1685</v>
      </c>
      <c r="D138" s="2">
        <v>9000</v>
      </c>
    </row>
    <row r="139" spans="1:4" x14ac:dyDescent="0.3">
      <c r="A139" s="2">
        <v>138</v>
      </c>
      <c r="B139" s="2" t="s">
        <v>1686</v>
      </c>
      <c r="C139" s="2" t="s">
        <v>1687</v>
      </c>
      <c r="D139" s="2">
        <v>13500</v>
      </c>
    </row>
    <row r="140" spans="1:4" x14ac:dyDescent="0.3">
      <c r="A140" s="2">
        <v>139</v>
      </c>
      <c r="B140" s="2" t="s">
        <v>1688</v>
      </c>
      <c r="C140" s="2" t="s">
        <v>1689</v>
      </c>
      <c r="D140" s="2">
        <v>14400</v>
      </c>
    </row>
    <row r="141" spans="1:4" x14ac:dyDescent="0.3">
      <c r="A141" s="2">
        <v>140</v>
      </c>
      <c r="B141" s="2" t="s">
        <v>1690</v>
      </c>
      <c r="C141" s="2" t="s">
        <v>1691</v>
      </c>
      <c r="D141" s="2">
        <v>16200</v>
      </c>
    </row>
    <row r="142" spans="1:4" x14ac:dyDescent="0.3">
      <c r="A142" s="2">
        <v>141</v>
      </c>
      <c r="B142" s="2" t="s">
        <v>1692</v>
      </c>
      <c r="C142" s="2" t="s">
        <v>1693</v>
      </c>
      <c r="D142" s="2">
        <v>5200</v>
      </c>
    </row>
    <row r="143" spans="1:4" x14ac:dyDescent="0.3">
      <c r="A143" s="2">
        <v>142</v>
      </c>
      <c r="B143" s="2" t="s">
        <v>1694</v>
      </c>
      <c r="C143" s="2" t="s">
        <v>1695</v>
      </c>
      <c r="D143" s="2">
        <v>3300</v>
      </c>
    </row>
    <row r="144" spans="1:4" x14ac:dyDescent="0.3">
      <c r="A144" s="2">
        <v>143</v>
      </c>
      <c r="B144" s="2" t="s">
        <v>1696</v>
      </c>
      <c r="C144" s="2" t="s">
        <v>1697</v>
      </c>
      <c r="D144" s="2">
        <v>16000</v>
      </c>
    </row>
    <row r="145" spans="1:4" x14ac:dyDescent="0.3">
      <c r="A145" s="2">
        <v>144</v>
      </c>
      <c r="B145" s="2" t="s">
        <v>1698</v>
      </c>
      <c r="C145" s="2" t="s">
        <v>1699</v>
      </c>
      <c r="D145" s="2">
        <v>14400</v>
      </c>
    </row>
    <row r="146" spans="1:4" x14ac:dyDescent="0.3">
      <c r="A146" s="2">
        <v>145</v>
      </c>
      <c r="B146" s="2" t="s">
        <v>1700</v>
      </c>
      <c r="C146" s="2" t="s">
        <v>1701</v>
      </c>
      <c r="D146" s="2">
        <v>13500</v>
      </c>
    </row>
    <row r="147" spans="1:4" x14ac:dyDescent="0.3">
      <c r="A147" s="2">
        <v>146</v>
      </c>
      <c r="B147" s="2" t="s">
        <v>1702</v>
      </c>
      <c r="C147" s="2" t="s">
        <v>1703</v>
      </c>
      <c r="D147" s="2">
        <v>15120</v>
      </c>
    </row>
    <row r="148" spans="1:4" x14ac:dyDescent="0.3">
      <c r="A148" s="2">
        <v>147</v>
      </c>
      <c r="B148" s="2" t="s">
        <v>1704</v>
      </c>
      <c r="C148" s="2" t="s">
        <v>1705</v>
      </c>
      <c r="D148" s="2">
        <v>12000</v>
      </c>
    </row>
    <row r="149" spans="1:4" x14ac:dyDescent="0.3">
      <c r="A149" s="2">
        <v>148</v>
      </c>
      <c r="B149" s="2" t="s">
        <v>1706</v>
      </c>
      <c r="C149" s="2" t="s">
        <v>1707</v>
      </c>
      <c r="D149" s="2">
        <v>15300</v>
      </c>
    </row>
    <row r="150" spans="1:4" x14ac:dyDescent="0.3">
      <c r="A150" s="2">
        <v>149</v>
      </c>
      <c r="B150" s="2" t="s">
        <v>1708</v>
      </c>
      <c r="C150" s="2" t="s">
        <v>1709</v>
      </c>
      <c r="D150" s="2">
        <v>15000</v>
      </c>
    </row>
    <row r="151" spans="1:4" x14ac:dyDescent="0.3">
      <c r="A151" s="2">
        <v>150</v>
      </c>
      <c r="B151" s="2" t="s">
        <v>1710</v>
      </c>
      <c r="C151" s="2" t="s">
        <v>1711</v>
      </c>
      <c r="D151" s="2">
        <v>25000</v>
      </c>
    </row>
    <row r="152" spans="1:4" x14ac:dyDescent="0.3">
      <c r="A152" s="2">
        <v>151</v>
      </c>
      <c r="B152" s="2" t="s">
        <v>1712</v>
      </c>
      <c r="C152" s="2" t="s">
        <v>1713</v>
      </c>
      <c r="D152" s="2">
        <v>7000</v>
      </c>
    </row>
    <row r="153" spans="1:4" x14ac:dyDescent="0.3">
      <c r="A153" s="2">
        <v>152</v>
      </c>
      <c r="B153" s="2" t="s">
        <v>630</v>
      </c>
      <c r="C153" s="2" t="s">
        <v>1714</v>
      </c>
      <c r="D153" s="2">
        <v>7920</v>
      </c>
    </row>
    <row r="154" spans="1:4" x14ac:dyDescent="0.3">
      <c r="A154" s="2">
        <v>153</v>
      </c>
      <c r="B154" s="2" t="s">
        <v>1715</v>
      </c>
      <c r="C154" s="2" t="s">
        <v>1716</v>
      </c>
      <c r="D154" s="2">
        <v>13500</v>
      </c>
    </row>
    <row r="155" spans="1:4" x14ac:dyDescent="0.3">
      <c r="A155" s="2">
        <v>154</v>
      </c>
      <c r="B155" s="2" t="s">
        <v>1717</v>
      </c>
      <c r="C155" s="2" t="s">
        <v>1718</v>
      </c>
      <c r="D155" s="2">
        <v>16650</v>
      </c>
    </row>
    <row r="156" spans="1:4" x14ac:dyDescent="0.3">
      <c r="A156" s="2">
        <v>155</v>
      </c>
      <c r="B156" s="2" t="s">
        <v>1719</v>
      </c>
      <c r="C156" s="2" t="s">
        <v>1720</v>
      </c>
      <c r="D156" s="2">
        <v>18000</v>
      </c>
    </row>
    <row r="157" spans="1:4" x14ac:dyDescent="0.3">
      <c r="A157" s="2">
        <v>156</v>
      </c>
      <c r="B157" s="2" t="s">
        <v>1721</v>
      </c>
      <c r="C157" s="2" t="s">
        <v>1722</v>
      </c>
      <c r="D157" s="2">
        <v>17100</v>
      </c>
    </row>
    <row r="158" spans="1:4" x14ac:dyDescent="0.3">
      <c r="A158" s="2">
        <v>157</v>
      </c>
      <c r="B158" s="2" t="s">
        <v>1723</v>
      </c>
      <c r="C158" s="2" t="s">
        <v>1724</v>
      </c>
      <c r="D158" s="2">
        <v>31000</v>
      </c>
    </row>
    <row r="159" spans="1:4" x14ac:dyDescent="0.3">
      <c r="A159" s="2">
        <v>158</v>
      </c>
      <c r="B159" s="2" t="s">
        <v>1725</v>
      </c>
      <c r="C159" s="2" t="s">
        <v>1726</v>
      </c>
      <c r="D159" s="2">
        <v>9000</v>
      </c>
    </row>
    <row r="160" spans="1:4" x14ac:dyDescent="0.3">
      <c r="A160" s="2">
        <v>159</v>
      </c>
      <c r="B160" s="2" t="s">
        <v>1727</v>
      </c>
      <c r="C160" s="2" t="s">
        <v>1728</v>
      </c>
      <c r="D160" s="2">
        <v>16000</v>
      </c>
    </row>
    <row r="161" spans="1:4" x14ac:dyDescent="0.3">
      <c r="A161" s="2">
        <v>160</v>
      </c>
      <c r="B161" s="2" t="s">
        <v>645</v>
      </c>
      <c r="C161" s="2" t="s">
        <v>1729</v>
      </c>
      <c r="D161" s="2">
        <v>14400</v>
      </c>
    </row>
    <row r="162" spans="1:4" x14ac:dyDescent="0.3">
      <c r="A162" s="2">
        <v>161</v>
      </c>
      <c r="B162" s="2" t="s">
        <v>1730</v>
      </c>
      <c r="C162" s="2" t="s">
        <v>1731</v>
      </c>
      <c r="D162" s="2">
        <v>14000</v>
      </c>
    </row>
    <row r="163" spans="1:4" x14ac:dyDescent="0.3">
      <c r="A163" s="2">
        <v>162</v>
      </c>
      <c r="B163" s="2" t="s">
        <v>1732</v>
      </c>
      <c r="C163" s="2" t="s">
        <v>1733</v>
      </c>
      <c r="D163" s="2">
        <v>11700</v>
      </c>
    </row>
    <row r="164" spans="1:4" x14ac:dyDescent="0.3">
      <c r="A164" s="2">
        <v>163</v>
      </c>
      <c r="B164" s="2" t="s">
        <v>1734</v>
      </c>
      <c r="C164" s="2" t="s">
        <v>1735</v>
      </c>
      <c r="D164" s="2">
        <v>12600</v>
      </c>
    </row>
    <row r="165" spans="1:4" x14ac:dyDescent="0.3">
      <c r="A165" s="2">
        <v>164</v>
      </c>
      <c r="B165" s="2" t="s">
        <v>1736</v>
      </c>
      <c r="C165" s="2" t="s">
        <v>1737</v>
      </c>
      <c r="D165" s="2">
        <v>8000</v>
      </c>
    </row>
    <row r="166" spans="1:4" x14ac:dyDescent="0.3">
      <c r="A166" s="2">
        <v>165</v>
      </c>
      <c r="B166" s="2" t="s">
        <v>1738</v>
      </c>
      <c r="C166" s="2" t="s">
        <v>1739</v>
      </c>
      <c r="D166" s="2">
        <v>8700</v>
      </c>
    </row>
    <row r="167" spans="1:4" x14ac:dyDescent="0.3">
      <c r="A167" s="2">
        <v>166</v>
      </c>
      <c r="B167" s="2" t="s">
        <v>1740</v>
      </c>
      <c r="C167" s="2" t="s">
        <v>1741</v>
      </c>
      <c r="D167" s="2">
        <v>9500</v>
      </c>
    </row>
    <row r="168" spans="1:4" x14ac:dyDescent="0.3">
      <c r="A168" s="2">
        <v>167</v>
      </c>
      <c r="B168" s="2" t="s">
        <v>657</v>
      </c>
      <c r="C168" s="2" t="s">
        <v>1742</v>
      </c>
      <c r="D168" s="2">
        <v>17000</v>
      </c>
    </row>
    <row r="169" spans="1:4" x14ac:dyDescent="0.3">
      <c r="A169" s="2">
        <v>168</v>
      </c>
      <c r="B169" s="2" t="s">
        <v>1743</v>
      </c>
      <c r="C169" s="2" t="s">
        <v>1744</v>
      </c>
      <c r="D169" s="2">
        <v>14400</v>
      </c>
    </row>
    <row r="170" spans="1:4" x14ac:dyDescent="0.3">
      <c r="A170" s="2">
        <v>169</v>
      </c>
      <c r="B170" s="2" t="s">
        <v>1745</v>
      </c>
      <c r="C170" s="2" t="s">
        <v>1746</v>
      </c>
      <c r="D170" s="2">
        <v>14400</v>
      </c>
    </row>
    <row r="171" spans="1:4" x14ac:dyDescent="0.3">
      <c r="A171" s="2">
        <v>170</v>
      </c>
      <c r="B171" s="2" t="s">
        <v>1747</v>
      </c>
      <c r="C171" s="2" t="s">
        <v>1748</v>
      </c>
      <c r="D171" s="2">
        <v>14000</v>
      </c>
    </row>
    <row r="172" spans="1:4" x14ac:dyDescent="0.3">
      <c r="A172" s="2">
        <v>171</v>
      </c>
      <c r="B172" s="2" t="s">
        <v>1749</v>
      </c>
      <c r="C172" s="2" t="s">
        <v>1750</v>
      </c>
      <c r="D172" s="2">
        <v>11700</v>
      </c>
    </row>
    <row r="173" spans="1:4" x14ac:dyDescent="0.3">
      <c r="A173" s="2">
        <v>172</v>
      </c>
      <c r="B173" s="2" t="s">
        <v>672</v>
      </c>
      <c r="C173" s="2" t="s">
        <v>1751</v>
      </c>
      <c r="D173" s="2">
        <v>12600</v>
      </c>
    </row>
    <row r="174" spans="1:4" x14ac:dyDescent="0.3">
      <c r="A174" s="2">
        <v>173</v>
      </c>
      <c r="B174" s="2" t="s">
        <v>1752</v>
      </c>
      <c r="C174" s="2" t="s">
        <v>1753</v>
      </c>
      <c r="D174" s="2">
        <v>6500</v>
      </c>
    </row>
    <row r="175" spans="1:4" x14ac:dyDescent="0.3">
      <c r="A175" s="2">
        <v>174</v>
      </c>
      <c r="B175" s="2" t="s">
        <v>1754</v>
      </c>
      <c r="C175" s="2" t="s">
        <v>1755</v>
      </c>
      <c r="D175" s="2">
        <v>20000</v>
      </c>
    </row>
    <row r="176" spans="1:4" x14ac:dyDescent="0.3">
      <c r="A176" s="2">
        <v>175</v>
      </c>
      <c r="B176" s="2" t="s">
        <v>1756</v>
      </c>
      <c r="C176" s="2" t="s">
        <v>1757</v>
      </c>
      <c r="D176" s="2">
        <v>20000</v>
      </c>
    </row>
    <row r="177" spans="1:4" x14ac:dyDescent="0.3">
      <c r="A177" s="2">
        <v>176</v>
      </c>
      <c r="B177" s="2" t="s">
        <v>1758</v>
      </c>
      <c r="C177" s="2" t="s">
        <v>1759</v>
      </c>
      <c r="D177" s="2">
        <v>8910</v>
      </c>
    </row>
    <row r="178" spans="1:4" x14ac:dyDescent="0.3">
      <c r="A178" s="2">
        <v>177</v>
      </c>
      <c r="B178" s="2" t="s">
        <v>1760</v>
      </c>
      <c r="C178" s="2" t="s">
        <v>1761</v>
      </c>
      <c r="D178" s="2">
        <v>13000</v>
      </c>
    </row>
    <row r="179" spans="1:4" x14ac:dyDescent="0.3">
      <c r="A179" s="2">
        <v>178</v>
      </c>
      <c r="B179" s="2" t="s">
        <v>1762</v>
      </c>
      <c r="C179" s="2" t="s">
        <v>1763</v>
      </c>
      <c r="D179" s="2">
        <v>8000</v>
      </c>
    </row>
    <row r="180" spans="1:4" x14ac:dyDescent="0.3">
      <c r="A180" s="2">
        <v>179</v>
      </c>
      <c r="B180" s="2" t="s">
        <v>1764</v>
      </c>
      <c r="C180" s="2" t="s">
        <v>1765</v>
      </c>
      <c r="D180" s="2">
        <v>14400</v>
      </c>
    </row>
    <row r="181" spans="1:4" x14ac:dyDescent="0.3">
      <c r="A181" s="2">
        <v>180</v>
      </c>
      <c r="B181" s="2" t="s">
        <v>1766</v>
      </c>
      <c r="C181" s="2" t="s">
        <v>1767</v>
      </c>
      <c r="D181" s="2">
        <v>10000</v>
      </c>
    </row>
    <row r="182" spans="1:4" x14ac:dyDescent="0.3">
      <c r="A182" s="2">
        <v>181</v>
      </c>
      <c r="B182" s="2" t="s">
        <v>1768</v>
      </c>
      <c r="C182" s="2" t="s">
        <v>1769</v>
      </c>
      <c r="D182" s="2">
        <v>6500</v>
      </c>
    </row>
    <row r="183" spans="1:4" x14ac:dyDescent="0.3">
      <c r="A183" s="2">
        <v>182</v>
      </c>
      <c r="B183" s="2" t="s">
        <v>1770</v>
      </c>
      <c r="C183" s="2" t="s">
        <v>1771</v>
      </c>
      <c r="D183" s="2">
        <v>18500</v>
      </c>
    </row>
    <row r="184" spans="1:4" x14ac:dyDescent="0.3">
      <c r="A184" s="2">
        <v>183</v>
      </c>
      <c r="B184" s="2" t="s">
        <v>687</v>
      </c>
      <c r="C184" s="2" t="s">
        <v>1772</v>
      </c>
      <c r="D184" s="2">
        <v>11500</v>
      </c>
    </row>
    <row r="185" spans="1:4" x14ac:dyDescent="0.3">
      <c r="A185" s="2">
        <v>184</v>
      </c>
      <c r="B185" s="2" t="s">
        <v>1773</v>
      </c>
      <c r="C185" s="2" t="s">
        <v>1774</v>
      </c>
      <c r="D185" s="2">
        <v>9900</v>
      </c>
    </row>
    <row r="186" spans="1:4" x14ac:dyDescent="0.3">
      <c r="A186" s="2">
        <v>185</v>
      </c>
      <c r="B186" s="2" t="s">
        <v>1775</v>
      </c>
      <c r="C186" s="2" t="s">
        <v>1776</v>
      </c>
      <c r="D186" s="2">
        <v>17010</v>
      </c>
    </row>
    <row r="187" spans="1:4" x14ac:dyDescent="0.3">
      <c r="A187" s="2">
        <v>186</v>
      </c>
      <c r="B187" s="2" t="s">
        <v>1777</v>
      </c>
      <c r="C187" s="2" t="s">
        <v>1778</v>
      </c>
      <c r="D187" s="2">
        <v>13000</v>
      </c>
    </row>
    <row r="188" spans="1:4" x14ac:dyDescent="0.3">
      <c r="A188" s="2">
        <v>187</v>
      </c>
      <c r="B188" s="2" t="s">
        <v>1779</v>
      </c>
      <c r="C188" s="2" t="s">
        <v>1780</v>
      </c>
      <c r="D188" s="2">
        <v>11700</v>
      </c>
    </row>
    <row r="189" spans="1:4" x14ac:dyDescent="0.3">
      <c r="A189" s="2">
        <v>188</v>
      </c>
      <c r="B189" s="2" t="s">
        <v>693</v>
      </c>
      <c r="C189" s="2" t="s">
        <v>1781</v>
      </c>
      <c r="D189" s="2">
        <v>13000</v>
      </c>
    </row>
    <row r="190" spans="1:4" x14ac:dyDescent="0.3">
      <c r="A190" s="2">
        <v>189</v>
      </c>
      <c r="B190" s="2" t="s">
        <v>1782</v>
      </c>
      <c r="C190" s="2" t="s">
        <v>1783</v>
      </c>
      <c r="D190" s="2">
        <v>16000</v>
      </c>
    </row>
    <row r="191" spans="1:4" x14ac:dyDescent="0.3">
      <c r="A191" s="2">
        <v>190</v>
      </c>
      <c r="B191" s="2" t="s">
        <v>1784</v>
      </c>
      <c r="C191" s="2" t="s">
        <v>1785</v>
      </c>
      <c r="D191" s="2">
        <v>13000</v>
      </c>
    </row>
    <row r="192" spans="1:4" x14ac:dyDescent="0.3">
      <c r="A192" s="2">
        <v>191</v>
      </c>
      <c r="B192" s="2" t="s">
        <v>1786</v>
      </c>
      <c r="C192" s="2" t="s">
        <v>1787</v>
      </c>
      <c r="D192" s="2">
        <v>15000</v>
      </c>
    </row>
    <row r="193" spans="1:4" x14ac:dyDescent="0.3">
      <c r="A193" s="2">
        <v>192</v>
      </c>
      <c r="B193" s="2" t="s">
        <v>1788</v>
      </c>
      <c r="C193" s="2" t="s">
        <v>1789</v>
      </c>
      <c r="D193" s="2">
        <v>12000</v>
      </c>
    </row>
    <row r="194" spans="1:4" x14ac:dyDescent="0.3">
      <c r="A194" s="2">
        <v>193</v>
      </c>
      <c r="B194" s="2" t="s">
        <v>1790</v>
      </c>
      <c r="C194" s="2" t="s">
        <v>1791</v>
      </c>
      <c r="D194" s="2">
        <v>14400</v>
      </c>
    </row>
    <row r="195" spans="1:4" x14ac:dyDescent="0.3">
      <c r="A195" s="2">
        <v>194</v>
      </c>
      <c r="B195" s="2" t="s">
        <v>1792</v>
      </c>
      <c r="C195" s="2" t="s">
        <v>1793</v>
      </c>
      <c r="D195" s="2">
        <v>13500</v>
      </c>
    </row>
    <row r="196" spans="1:4" x14ac:dyDescent="0.3">
      <c r="A196" s="2">
        <v>195</v>
      </c>
      <c r="B196" s="2" t="s">
        <v>711</v>
      </c>
      <c r="C196" s="2" t="s">
        <v>1794</v>
      </c>
      <c r="D196" s="2">
        <v>27000</v>
      </c>
    </row>
    <row r="197" spans="1:4" x14ac:dyDescent="0.3">
      <c r="A197" s="2">
        <v>196</v>
      </c>
      <c r="B197" s="2" t="s">
        <v>1795</v>
      </c>
      <c r="C197" s="2" t="s">
        <v>1796</v>
      </c>
      <c r="D197" s="2">
        <v>17010</v>
      </c>
    </row>
    <row r="198" spans="1:4" x14ac:dyDescent="0.3">
      <c r="A198" s="2">
        <v>197</v>
      </c>
      <c r="B198" s="2" t="s">
        <v>1797</v>
      </c>
      <c r="C198" s="2" t="s">
        <v>1798</v>
      </c>
      <c r="D198" s="2">
        <v>7700</v>
      </c>
    </row>
    <row r="199" spans="1:4" x14ac:dyDescent="0.3">
      <c r="A199" s="2">
        <v>198</v>
      </c>
      <c r="B199" s="2" t="s">
        <v>1799</v>
      </c>
      <c r="C199" s="2" t="s">
        <v>1800</v>
      </c>
      <c r="D199" s="2">
        <v>11500</v>
      </c>
    </row>
    <row r="200" spans="1:4" x14ac:dyDescent="0.3">
      <c r="A200" s="2">
        <v>199</v>
      </c>
      <c r="B200" s="2" t="s">
        <v>717</v>
      </c>
      <c r="C200" s="2" t="s">
        <v>1801</v>
      </c>
      <c r="D200" s="2">
        <v>8500</v>
      </c>
    </row>
    <row r="201" spans="1:4" x14ac:dyDescent="0.3">
      <c r="A201" s="2">
        <v>200</v>
      </c>
      <c r="B201" s="2" t="s">
        <v>1802</v>
      </c>
      <c r="C201" s="2" t="s">
        <v>1803</v>
      </c>
      <c r="D201" s="2">
        <v>12600</v>
      </c>
    </row>
    <row r="202" spans="1:4" x14ac:dyDescent="0.3">
      <c r="A202" s="2">
        <v>201</v>
      </c>
      <c r="B202" s="2" t="s">
        <v>1425</v>
      </c>
      <c r="C202" s="2" t="s">
        <v>1804</v>
      </c>
      <c r="D202" s="2">
        <v>19000</v>
      </c>
    </row>
    <row r="203" spans="1:4" x14ac:dyDescent="0.3">
      <c r="A203" s="2">
        <v>202</v>
      </c>
      <c r="B203" s="2" t="s">
        <v>1434</v>
      </c>
      <c r="C203" s="2" t="s">
        <v>1805</v>
      </c>
      <c r="D203" s="2">
        <v>32300</v>
      </c>
    </row>
    <row r="204" spans="1:4" x14ac:dyDescent="0.3">
      <c r="A204" s="2">
        <v>203</v>
      </c>
      <c r="B204" s="2" t="s">
        <v>1806</v>
      </c>
      <c r="C204" s="2" t="s">
        <v>1807</v>
      </c>
      <c r="D204" s="2">
        <v>26000</v>
      </c>
    </row>
    <row r="205" spans="1:4" x14ac:dyDescent="0.3">
      <c r="A205" s="2">
        <v>204</v>
      </c>
      <c r="B205" s="2" t="s">
        <v>726</v>
      </c>
      <c r="C205" s="2" t="s">
        <v>1808</v>
      </c>
      <c r="D205" s="2">
        <v>22500</v>
      </c>
    </row>
    <row r="206" spans="1:4" x14ac:dyDescent="0.3">
      <c r="A206" s="2">
        <v>205</v>
      </c>
      <c r="B206" s="2" t="s">
        <v>1809</v>
      </c>
      <c r="C206" s="2" t="s">
        <v>1810</v>
      </c>
      <c r="D206" s="2">
        <v>9000</v>
      </c>
    </row>
    <row r="207" spans="1:4" x14ac:dyDescent="0.3">
      <c r="A207" s="2">
        <v>206</v>
      </c>
      <c r="B207" s="2" t="s">
        <v>1811</v>
      </c>
      <c r="C207" s="2" t="s">
        <v>1812</v>
      </c>
      <c r="D207" s="2">
        <v>7000</v>
      </c>
    </row>
    <row r="208" spans="1:4" x14ac:dyDescent="0.3">
      <c r="A208" s="2">
        <v>207</v>
      </c>
      <c r="B208" s="2" t="s">
        <v>1813</v>
      </c>
      <c r="C208" s="2" t="s">
        <v>1814</v>
      </c>
      <c r="D208" s="2">
        <v>17000</v>
      </c>
    </row>
    <row r="209" spans="1:4" x14ac:dyDescent="0.3">
      <c r="A209" s="2">
        <v>208</v>
      </c>
      <c r="B209" s="2" t="s">
        <v>734</v>
      </c>
      <c r="C209" s="2" t="s">
        <v>1815</v>
      </c>
      <c r="D209" s="2">
        <v>8820</v>
      </c>
    </row>
    <row r="210" spans="1:4" x14ac:dyDescent="0.3">
      <c r="A210" s="2">
        <v>209</v>
      </c>
      <c r="B210" s="2" t="s">
        <v>737</v>
      </c>
      <c r="C210" s="2" t="s">
        <v>1816</v>
      </c>
      <c r="D210" s="2">
        <v>13000</v>
      </c>
    </row>
    <row r="211" spans="1:4" x14ac:dyDescent="0.3">
      <c r="A211" s="2">
        <v>210</v>
      </c>
      <c r="B211" s="2" t="s">
        <v>1430</v>
      </c>
      <c r="C211" s="2" t="s">
        <v>1817</v>
      </c>
      <c r="D211" s="2">
        <v>11700</v>
      </c>
    </row>
    <row r="212" spans="1:4" x14ac:dyDescent="0.3">
      <c r="A212" s="2">
        <v>211</v>
      </c>
      <c r="B212" s="2" t="s">
        <v>1818</v>
      </c>
      <c r="C212" s="2" t="s">
        <v>1819</v>
      </c>
      <c r="D212" s="2">
        <v>9900</v>
      </c>
    </row>
    <row r="213" spans="1:4" x14ac:dyDescent="0.3">
      <c r="A213" s="2">
        <v>212</v>
      </c>
      <c r="B213" s="2" t="s">
        <v>1820</v>
      </c>
      <c r="C213" s="2" t="s">
        <v>1821</v>
      </c>
      <c r="D213" s="2">
        <v>12000</v>
      </c>
    </row>
    <row r="214" spans="1:4" x14ac:dyDescent="0.3">
      <c r="A214" s="2">
        <v>213</v>
      </c>
      <c r="B214" s="2" t="s">
        <v>1822</v>
      </c>
      <c r="C214" s="2" t="s">
        <v>1823</v>
      </c>
      <c r="D214" s="2">
        <v>8900</v>
      </c>
    </row>
    <row r="215" spans="1:4" x14ac:dyDescent="0.3">
      <c r="A215" s="2">
        <v>214</v>
      </c>
      <c r="B215" s="2" t="s">
        <v>1824</v>
      </c>
      <c r="C215" s="2" t="s">
        <v>1825</v>
      </c>
      <c r="D215" s="2">
        <v>12600</v>
      </c>
    </row>
    <row r="216" spans="1:4" x14ac:dyDescent="0.3">
      <c r="A216" s="2">
        <v>215</v>
      </c>
      <c r="B216" s="2" t="s">
        <v>1826</v>
      </c>
      <c r="C216" s="2" t="s">
        <v>1827</v>
      </c>
      <c r="D216" s="2">
        <v>16200</v>
      </c>
    </row>
    <row r="217" spans="1:4" x14ac:dyDescent="0.3">
      <c r="A217" s="2">
        <v>216</v>
      </c>
      <c r="B217" s="2" t="s">
        <v>1828</v>
      </c>
      <c r="C217" s="2" t="s">
        <v>1829</v>
      </c>
      <c r="D217" s="2">
        <v>8800</v>
      </c>
    </row>
    <row r="218" spans="1:4" x14ac:dyDescent="0.3">
      <c r="A218" s="2">
        <v>217</v>
      </c>
      <c r="B218" s="2" t="s">
        <v>1830</v>
      </c>
      <c r="C218" s="2" t="s">
        <v>1831</v>
      </c>
      <c r="D218" s="2">
        <v>15000</v>
      </c>
    </row>
    <row r="219" spans="1:4" x14ac:dyDescent="0.3">
      <c r="A219" s="2">
        <v>218</v>
      </c>
      <c r="B219" s="2" t="s">
        <v>752</v>
      </c>
      <c r="C219" s="2" t="s">
        <v>1832</v>
      </c>
      <c r="D219" s="2">
        <v>9900</v>
      </c>
    </row>
    <row r="220" spans="1:4" x14ac:dyDescent="0.3">
      <c r="A220" s="2">
        <v>219</v>
      </c>
      <c r="B220" s="2" t="s">
        <v>1833</v>
      </c>
      <c r="C220" s="2" t="s">
        <v>1834</v>
      </c>
      <c r="D220" s="2">
        <v>8800</v>
      </c>
    </row>
    <row r="221" spans="1:4" x14ac:dyDescent="0.3">
      <c r="A221" s="2">
        <v>220</v>
      </c>
      <c r="B221" s="2" t="s">
        <v>1835</v>
      </c>
      <c r="C221" s="2" t="s">
        <v>1836</v>
      </c>
      <c r="D221" s="2">
        <v>11610</v>
      </c>
    </row>
    <row r="222" spans="1:4" x14ac:dyDescent="0.3">
      <c r="A222" s="2">
        <v>221</v>
      </c>
      <c r="B222" s="2" t="s">
        <v>1837</v>
      </c>
      <c r="C222" s="2" t="s">
        <v>1838</v>
      </c>
      <c r="D222" s="2">
        <v>18000</v>
      </c>
    </row>
    <row r="223" spans="1:4" x14ac:dyDescent="0.3">
      <c r="A223" s="2">
        <v>222</v>
      </c>
      <c r="B223" s="2" t="s">
        <v>1839</v>
      </c>
      <c r="C223" s="2" t="s">
        <v>1823</v>
      </c>
      <c r="D223" s="2">
        <v>8900</v>
      </c>
    </row>
    <row r="224" spans="1:4" x14ac:dyDescent="0.3">
      <c r="A224" s="2">
        <v>223</v>
      </c>
      <c r="B224" s="2" t="s">
        <v>1840</v>
      </c>
      <c r="C224" s="2" t="s">
        <v>1841</v>
      </c>
      <c r="D224" s="2">
        <v>25000</v>
      </c>
    </row>
    <row r="225" spans="1:4" x14ac:dyDescent="0.3">
      <c r="A225" s="2">
        <v>224</v>
      </c>
      <c r="B225" s="2" t="s">
        <v>1842</v>
      </c>
      <c r="C225" s="2" t="s">
        <v>1843</v>
      </c>
      <c r="D225" s="2">
        <v>11700</v>
      </c>
    </row>
    <row r="226" spans="1:4" x14ac:dyDescent="0.3">
      <c r="A226" s="2">
        <v>225</v>
      </c>
      <c r="B226" s="2" t="s">
        <v>1844</v>
      </c>
      <c r="C226" s="2" t="s">
        <v>1845</v>
      </c>
      <c r="D226" s="2">
        <v>9800</v>
      </c>
    </row>
    <row r="227" spans="1:4" x14ac:dyDescent="0.3">
      <c r="A227" s="2">
        <v>226</v>
      </c>
      <c r="B227" s="2" t="s">
        <v>1846</v>
      </c>
      <c r="C227" s="2" t="s">
        <v>1847</v>
      </c>
      <c r="D227" s="2">
        <v>9720</v>
      </c>
    </row>
    <row r="228" spans="1:4" x14ac:dyDescent="0.3">
      <c r="A228" s="2">
        <v>227</v>
      </c>
      <c r="B228" s="2" t="s">
        <v>1848</v>
      </c>
      <c r="C228" s="2" t="s">
        <v>1849</v>
      </c>
      <c r="D228" s="2">
        <v>25920</v>
      </c>
    </row>
    <row r="229" spans="1:4" x14ac:dyDescent="0.3">
      <c r="A229" s="2">
        <v>228</v>
      </c>
      <c r="B229" s="2" t="s">
        <v>1850</v>
      </c>
      <c r="C229" s="2" t="s">
        <v>1851</v>
      </c>
      <c r="D229" s="2">
        <v>13500</v>
      </c>
    </row>
    <row r="230" spans="1:4" x14ac:dyDescent="0.3">
      <c r="A230" s="2">
        <v>229</v>
      </c>
      <c r="B230" s="2" t="s">
        <v>770</v>
      </c>
      <c r="C230" s="2" t="s">
        <v>1852</v>
      </c>
      <c r="D230" s="2">
        <v>8200</v>
      </c>
    </row>
    <row r="231" spans="1:4" x14ac:dyDescent="0.3">
      <c r="A231" s="2">
        <v>230</v>
      </c>
      <c r="B231" s="2" t="s">
        <v>1853</v>
      </c>
      <c r="C231" s="2" t="s">
        <v>1854</v>
      </c>
      <c r="D231" s="2">
        <v>8900</v>
      </c>
    </row>
    <row r="232" spans="1:4" x14ac:dyDescent="0.3">
      <c r="A232" s="2">
        <v>231</v>
      </c>
      <c r="B232" s="2" t="s">
        <v>1855</v>
      </c>
      <c r="C232" s="2" t="s">
        <v>1856</v>
      </c>
      <c r="D232" s="2">
        <v>13000</v>
      </c>
    </row>
    <row r="233" spans="1:4" x14ac:dyDescent="0.3">
      <c r="A233" s="2">
        <v>232</v>
      </c>
      <c r="B233" s="2" t="s">
        <v>779</v>
      </c>
      <c r="C233" s="2" t="s">
        <v>1857</v>
      </c>
      <c r="D233" s="2">
        <v>11000</v>
      </c>
    </row>
    <row r="234" spans="1:4" x14ac:dyDescent="0.3">
      <c r="A234" s="2">
        <v>233</v>
      </c>
      <c r="B234" s="2" t="s">
        <v>782</v>
      </c>
      <c r="C234" s="2" t="s">
        <v>1858</v>
      </c>
      <c r="D234" s="2">
        <v>9000</v>
      </c>
    </row>
    <row r="235" spans="1:4" x14ac:dyDescent="0.3">
      <c r="A235" s="2">
        <v>234</v>
      </c>
      <c r="B235" s="2" t="s">
        <v>1859</v>
      </c>
      <c r="C235" s="2" t="s">
        <v>1860</v>
      </c>
      <c r="D235" s="2">
        <v>14000</v>
      </c>
    </row>
    <row r="236" spans="1:4" x14ac:dyDescent="0.3">
      <c r="A236" s="2">
        <v>235</v>
      </c>
      <c r="B236" s="2" t="s">
        <v>1861</v>
      </c>
      <c r="C236" s="2" t="s">
        <v>1862</v>
      </c>
      <c r="D236" s="2">
        <v>16200</v>
      </c>
    </row>
    <row r="237" spans="1:4" x14ac:dyDescent="0.3">
      <c r="A237" s="2">
        <v>236</v>
      </c>
      <c r="B237" s="2" t="s">
        <v>785</v>
      </c>
      <c r="C237" s="2" t="s">
        <v>1863</v>
      </c>
      <c r="D237" s="2">
        <v>11700</v>
      </c>
    </row>
    <row r="238" spans="1:4" x14ac:dyDescent="0.3">
      <c r="A238" s="2">
        <v>237</v>
      </c>
      <c r="B238" s="2" t="s">
        <v>1864</v>
      </c>
      <c r="C238" s="2" t="s">
        <v>1865</v>
      </c>
      <c r="D238" s="2">
        <v>7000</v>
      </c>
    </row>
    <row r="239" spans="1:4" x14ac:dyDescent="0.3">
      <c r="A239" s="2">
        <v>238</v>
      </c>
      <c r="B239" s="2" t="s">
        <v>1866</v>
      </c>
      <c r="C239" s="2" t="s">
        <v>1867</v>
      </c>
      <c r="D239" s="2">
        <v>16000</v>
      </c>
    </row>
    <row r="240" spans="1:4" x14ac:dyDescent="0.3">
      <c r="A240" s="2">
        <v>239</v>
      </c>
      <c r="B240" s="2" t="s">
        <v>1868</v>
      </c>
      <c r="C240" s="2" t="s">
        <v>1869</v>
      </c>
      <c r="D240" s="2">
        <v>3300</v>
      </c>
    </row>
    <row r="241" spans="1:4" x14ac:dyDescent="0.3">
      <c r="A241" s="2">
        <v>240</v>
      </c>
      <c r="B241" s="2" t="s">
        <v>1870</v>
      </c>
      <c r="C241" s="2" t="s">
        <v>1871</v>
      </c>
      <c r="D241" s="2">
        <v>11000</v>
      </c>
    </row>
    <row r="242" spans="1:4" x14ac:dyDescent="0.3">
      <c r="A242" s="2">
        <v>241</v>
      </c>
      <c r="B242" s="2" t="s">
        <v>1872</v>
      </c>
      <c r="C242" s="2" t="s">
        <v>1873</v>
      </c>
      <c r="D242" s="2">
        <v>11000</v>
      </c>
    </row>
    <row r="243" spans="1:4" x14ac:dyDescent="0.3">
      <c r="A243" s="2">
        <v>242</v>
      </c>
      <c r="B243" s="2" t="s">
        <v>1874</v>
      </c>
      <c r="C243" s="2" t="s">
        <v>1875</v>
      </c>
      <c r="D243" s="2">
        <v>14400</v>
      </c>
    </row>
    <row r="244" spans="1:4" x14ac:dyDescent="0.3">
      <c r="A244" s="2">
        <v>243</v>
      </c>
      <c r="B244" s="2" t="s">
        <v>1876</v>
      </c>
      <c r="C244" s="2" t="s">
        <v>1877</v>
      </c>
      <c r="D244" s="2">
        <v>25200</v>
      </c>
    </row>
    <row r="245" spans="1:4" x14ac:dyDescent="0.3">
      <c r="A245" s="2">
        <v>244</v>
      </c>
      <c r="B245" s="2" t="s">
        <v>1878</v>
      </c>
      <c r="C245" s="2" t="s">
        <v>1879</v>
      </c>
      <c r="D245" s="2">
        <v>12600</v>
      </c>
    </row>
    <row r="246" spans="1:4" x14ac:dyDescent="0.3">
      <c r="A246" s="2">
        <v>245</v>
      </c>
      <c r="B246" s="2" t="s">
        <v>1880</v>
      </c>
      <c r="C246" s="2" t="s">
        <v>1881</v>
      </c>
      <c r="D246" s="2">
        <v>14000</v>
      </c>
    </row>
    <row r="247" spans="1:4" x14ac:dyDescent="0.3">
      <c r="A247" s="2">
        <v>246</v>
      </c>
      <c r="B247" s="2" t="s">
        <v>1882</v>
      </c>
      <c r="C247" s="2" t="s">
        <v>1883</v>
      </c>
      <c r="D247" s="2">
        <v>9000</v>
      </c>
    </row>
    <row r="248" spans="1:4" x14ac:dyDescent="0.3">
      <c r="A248" s="2">
        <v>247</v>
      </c>
      <c r="B248" s="2" t="s">
        <v>1884</v>
      </c>
      <c r="C248" s="2" t="s">
        <v>1885</v>
      </c>
      <c r="D248" s="2">
        <v>13500</v>
      </c>
    </row>
    <row r="249" spans="1:4" x14ac:dyDescent="0.3">
      <c r="A249" s="2">
        <v>248</v>
      </c>
      <c r="B249" s="2" t="s">
        <v>1886</v>
      </c>
      <c r="C249" s="2" t="s">
        <v>1887</v>
      </c>
      <c r="D249" s="2">
        <v>11700</v>
      </c>
    </row>
    <row r="250" spans="1:4" x14ac:dyDescent="0.3">
      <c r="A250" s="2">
        <v>249</v>
      </c>
      <c r="B250" s="2" t="s">
        <v>812</v>
      </c>
      <c r="C250" s="2" t="s">
        <v>1888</v>
      </c>
      <c r="D250" s="2">
        <v>11700</v>
      </c>
    </row>
    <row r="251" spans="1:4" x14ac:dyDescent="0.3">
      <c r="A251" s="2">
        <v>250</v>
      </c>
      <c r="B251" s="2" t="s">
        <v>1889</v>
      </c>
      <c r="C251" s="2" t="s">
        <v>1890</v>
      </c>
      <c r="D251" s="2">
        <v>12000</v>
      </c>
    </row>
    <row r="252" spans="1:4" x14ac:dyDescent="0.3">
      <c r="A252" s="2">
        <v>251</v>
      </c>
      <c r="B252" s="2" t="s">
        <v>1891</v>
      </c>
      <c r="C252" s="2" t="s">
        <v>1892</v>
      </c>
      <c r="D252" s="2">
        <v>7500</v>
      </c>
    </row>
    <row r="253" spans="1:4" x14ac:dyDescent="0.3">
      <c r="A253" s="2">
        <v>252</v>
      </c>
      <c r="B253" s="2" t="s">
        <v>1893</v>
      </c>
      <c r="C253" s="2" t="s">
        <v>1894</v>
      </c>
      <c r="D253" s="2">
        <v>4500</v>
      </c>
    </row>
    <row r="254" spans="1:4" x14ac:dyDescent="0.3">
      <c r="A254" s="2">
        <v>253</v>
      </c>
      <c r="B254" s="2" t="s">
        <v>1895</v>
      </c>
      <c r="C254" s="2" t="s">
        <v>1896</v>
      </c>
      <c r="D254" s="2">
        <v>15000</v>
      </c>
    </row>
    <row r="255" spans="1:4" x14ac:dyDescent="0.3">
      <c r="A255" s="2">
        <v>254</v>
      </c>
      <c r="B255" s="2" t="s">
        <v>1897</v>
      </c>
      <c r="C255" s="2" t="s">
        <v>1898</v>
      </c>
      <c r="D255" s="2">
        <v>14000</v>
      </c>
    </row>
    <row r="256" spans="1:4" x14ac:dyDescent="0.3">
      <c r="A256" s="2">
        <v>255</v>
      </c>
      <c r="B256" s="2" t="s">
        <v>1899</v>
      </c>
      <c r="C256" s="2" t="s">
        <v>1900</v>
      </c>
      <c r="D256" s="2">
        <v>14000</v>
      </c>
    </row>
    <row r="257" spans="1:4" x14ac:dyDescent="0.3">
      <c r="A257" s="2">
        <v>256</v>
      </c>
      <c r="B257" s="2" t="s">
        <v>1901</v>
      </c>
      <c r="C257" s="2" t="s">
        <v>1902</v>
      </c>
      <c r="D257" s="2">
        <v>11520</v>
      </c>
    </row>
    <row r="258" spans="1:4" x14ac:dyDescent="0.3">
      <c r="A258" s="2">
        <v>257</v>
      </c>
      <c r="B258" s="2" t="s">
        <v>1903</v>
      </c>
      <c r="C258" s="2" t="s">
        <v>1904</v>
      </c>
      <c r="D258" s="2">
        <v>13500</v>
      </c>
    </row>
    <row r="259" spans="1:4" x14ac:dyDescent="0.3">
      <c r="A259" s="2">
        <v>258</v>
      </c>
      <c r="B259" s="2" t="s">
        <v>1905</v>
      </c>
      <c r="C259" s="2" t="s">
        <v>1906</v>
      </c>
      <c r="D259" s="2">
        <v>17100</v>
      </c>
    </row>
    <row r="260" spans="1:4" x14ac:dyDescent="0.3">
      <c r="A260" s="2">
        <v>259</v>
      </c>
      <c r="B260" s="2" t="s">
        <v>1907</v>
      </c>
      <c r="C260" s="2" t="s">
        <v>1908</v>
      </c>
      <c r="D260" s="2">
        <v>18900</v>
      </c>
    </row>
    <row r="261" spans="1:4" x14ac:dyDescent="0.3">
      <c r="A261" s="2">
        <v>260</v>
      </c>
      <c r="B261" s="2" t="s">
        <v>1909</v>
      </c>
      <c r="C261" s="2" t="s">
        <v>1910</v>
      </c>
      <c r="D261" s="2">
        <v>21600</v>
      </c>
    </row>
    <row r="262" spans="1:4" x14ac:dyDescent="0.3">
      <c r="A262" s="2">
        <v>261</v>
      </c>
      <c r="B262" s="2" t="s">
        <v>833</v>
      </c>
      <c r="C262" s="2" t="s">
        <v>1911</v>
      </c>
      <c r="D262" s="2">
        <v>5800</v>
      </c>
    </row>
    <row r="263" spans="1:4" x14ac:dyDescent="0.3">
      <c r="A263" s="2">
        <v>262</v>
      </c>
      <c r="B263" s="2" t="s">
        <v>1912</v>
      </c>
      <c r="C263" s="2" t="s">
        <v>1913</v>
      </c>
      <c r="D263" s="2">
        <v>5700</v>
      </c>
    </row>
    <row r="264" spans="1:4" x14ac:dyDescent="0.3">
      <c r="A264" s="2">
        <v>263</v>
      </c>
      <c r="B264" s="2" t="s">
        <v>1914</v>
      </c>
      <c r="C264" s="2" t="s">
        <v>1915</v>
      </c>
      <c r="D264" s="2">
        <v>6500</v>
      </c>
    </row>
    <row r="265" spans="1:4" x14ac:dyDescent="0.3">
      <c r="A265" s="2">
        <v>264</v>
      </c>
      <c r="B265" s="2" t="s">
        <v>1916</v>
      </c>
      <c r="C265" s="2" t="s">
        <v>1917</v>
      </c>
      <c r="D265" s="2">
        <v>9000</v>
      </c>
    </row>
    <row r="266" spans="1:4" x14ac:dyDescent="0.3">
      <c r="A266" s="2">
        <v>265</v>
      </c>
      <c r="B266" s="2" t="s">
        <v>1918</v>
      </c>
      <c r="C266" s="2" t="s">
        <v>1919</v>
      </c>
      <c r="D266" s="2">
        <v>7200</v>
      </c>
    </row>
    <row r="267" spans="1:4" x14ac:dyDescent="0.3">
      <c r="A267" s="2">
        <v>266</v>
      </c>
      <c r="B267" s="2" t="s">
        <v>1920</v>
      </c>
      <c r="C267" s="2" t="s">
        <v>1921</v>
      </c>
      <c r="D267" s="2">
        <v>9000</v>
      </c>
    </row>
    <row r="268" spans="1:4" x14ac:dyDescent="0.3">
      <c r="A268" s="2">
        <v>267</v>
      </c>
      <c r="B268" s="2" t="s">
        <v>1432</v>
      </c>
      <c r="C268" s="2" t="s">
        <v>1922</v>
      </c>
      <c r="D268" s="2">
        <v>17100</v>
      </c>
    </row>
    <row r="269" spans="1:4" x14ac:dyDescent="0.3">
      <c r="A269" s="2">
        <v>268</v>
      </c>
      <c r="B269" s="2" t="s">
        <v>848</v>
      </c>
      <c r="C269" s="2" t="s">
        <v>1923</v>
      </c>
      <c r="D269" s="2">
        <v>16200</v>
      </c>
    </row>
    <row r="270" spans="1:4" x14ac:dyDescent="0.3">
      <c r="A270" s="2">
        <v>269</v>
      </c>
      <c r="B270" s="2" t="s">
        <v>851</v>
      </c>
      <c r="C270" s="2" t="s">
        <v>1924</v>
      </c>
      <c r="D270" s="2">
        <v>18500</v>
      </c>
    </row>
    <row r="271" spans="1:4" x14ac:dyDescent="0.3">
      <c r="A271" s="2">
        <v>270</v>
      </c>
      <c r="B271" s="2" t="s">
        <v>845</v>
      </c>
      <c r="C271" s="2" t="s">
        <v>1925</v>
      </c>
      <c r="D271" s="2">
        <v>18500</v>
      </c>
    </row>
    <row r="272" spans="1:4" x14ac:dyDescent="0.3">
      <c r="A272" s="2">
        <v>271</v>
      </c>
      <c r="B272" s="2" t="s">
        <v>1926</v>
      </c>
      <c r="C272" s="2" t="s">
        <v>1927</v>
      </c>
      <c r="D272" s="2">
        <v>18500</v>
      </c>
    </row>
    <row r="273" spans="1:4" x14ac:dyDescent="0.3">
      <c r="A273" s="2">
        <v>272</v>
      </c>
      <c r="B273" s="2" t="s">
        <v>1428</v>
      </c>
      <c r="C273" s="2" t="s">
        <v>1928</v>
      </c>
      <c r="D273" s="2">
        <v>7500</v>
      </c>
    </row>
    <row r="274" spans="1:4" x14ac:dyDescent="0.3">
      <c r="A274" s="2">
        <v>273</v>
      </c>
      <c r="B274" s="2" t="s">
        <v>1929</v>
      </c>
      <c r="C274" s="2" t="s">
        <v>1930</v>
      </c>
      <c r="D274" s="2">
        <v>8000</v>
      </c>
    </row>
    <row r="275" spans="1:4" x14ac:dyDescent="0.3">
      <c r="A275" s="2">
        <v>274</v>
      </c>
      <c r="B275" s="2" t="s">
        <v>857</v>
      </c>
      <c r="C275" s="2" t="s">
        <v>1931</v>
      </c>
      <c r="D275" s="2">
        <v>7200</v>
      </c>
    </row>
    <row r="276" spans="1:4" x14ac:dyDescent="0.3">
      <c r="A276" s="2">
        <v>275</v>
      </c>
      <c r="B276" s="2" t="s">
        <v>1932</v>
      </c>
      <c r="C276" s="2" t="s">
        <v>1933</v>
      </c>
      <c r="D276" s="2">
        <v>6750</v>
      </c>
    </row>
    <row r="277" spans="1:4" x14ac:dyDescent="0.3">
      <c r="A277" s="2">
        <v>276</v>
      </c>
      <c r="B277" s="2" t="s">
        <v>1934</v>
      </c>
      <c r="C277" s="2" t="s">
        <v>1935</v>
      </c>
      <c r="D277" s="2">
        <v>5000</v>
      </c>
    </row>
    <row r="278" spans="1:4" x14ac:dyDescent="0.3">
      <c r="A278" s="2">
        <v>277</v>
      </c>
      <c r="B278" s="2" t="s">
        <v>1936</v>
      </c>
      <c r="C278" s="2" t="s">
        <v>1937</v>
      </c>
      <c r="D278" s="2">
        <v>6000</v>
      </c>
    </row>
    <row r="279" spans="1:4" x14ac:dyDescent="0.3">
      <c r="A279" s="2">
        <v>278</v>
      </c>
      <c r="B279" s="2" t="s">
        <v>1938</v>
      </c>
      <c r="C279" s="2" t="s">
        <v>1939</v>
      </c>
      <c r="D279" s="2">
        <v>5500</v>
      </c>
    </row>
    <row r="280" spans="1:4" x14ac:dyDescent="0.3">
      <c r="A280" s="2">
        <v>279</v>
      </c>
      <c r="B280" s="2" t="s">
        <v>866</v>
      </c>
      <c r="C280" s="2" t="s">
        <v>1940</v>
      </c>
      <c r="D280" s="2">
        <v>5700</v>
      </c>
    </row>
    <row r="281" spans="1:4" x14ac:dyDescent="0.3">
      <c r="A281" s="2">
        <v>280</v>
      </c>
      <c r="B281" s="2" t="s">
        <v>1941</v>
      </c>
      <c r="C281" s="2" t="s">
        <v>1942</v>
      </c>
      <c r="D281" s="2">
        <v>11700</v>
      </c>
    </row>
    <row r="282" spans="1:4" x14ac:dyDescent="0.3">
      <c r="A282" s="2">
        <v>281</v>
      </c>
      <c r="B282" s="2" t="s">
        <v>1943</v>
      </c>
      <c r="C282" s="2" t="s">
        <v>1944</v>
      </c>
      <c r="D282" s="2">
        <v>13500</v>
      </c>
    </row>
    <row r="283" spans="1:4" x14ac:dyDescent="0.3">
      <c r="A283" s="2">
        <v>282</v>
      </c>
      <c r="B283" s="2" t="s">
        <v>875</v>
      </c>
      <c r="C283" s="2" t="s">
        <v>1945</v>
      </c>
      <c r="D283" s="2">
        <v>10800</v>
      </c>
    </row>
    <row r="284" spans="1:4" x14ac:dyDescent="0.3">
      <c r="A284" s="2">
        <v>283</v>
      </c>
      <c r="B284" s="2" t="s">
        <v>1946</v>
      </c>
      <c r="C284" s="2" t="s">
        <v>1947</v>
      </c>
      <c r="D284" s="2">
        <v>12150</v>
      </c>
    </row>
    <row r="285" spans="1:4" x14ac:dyDescent="0.3">
      <c r="A285" s="2">
        <v>284</v>
      </c>
      <c r="B285" s="2" t="s">
        <v>1948</v>
      </c>
      <c r="C285" s="2" t="s">
        <v>1949</v>
      </c>
      <c r="D285" s="2">
        <v>13500</v>
      </c>
    </row>
    <row r="286" spans="1:4" x14ac:dyDescent="0.3">
      <c r="A286" s="2">
        <v>285</v>
      </c>
      <c r="B286" s="2" t="s">
        <v>1950</v>
      </c>
      <c r="C286" s="2" t="s">
        <v>1951</v>
      </c>
      <c r="D286" s="2">
        <v>17000</v>
      </c>
    </row>
    <row r="287" spans="1:4" x14ac:dyDescent="0.3">
      <c r="A287" s="2">
        <v>286</v>
      </c>
      <c r="B287" s="2" t="s">
        <v>1952</v>
      </c>
      <c r="C287" s="2" t="s">
        <v>1953</v>
      </c>
      <c r="D287" s="2">
        <v>14000</v>
      </c>
    </row>
    <row r="288" spans="1:4" x14ac:dyDescent="0.3">
      <c r="A288" s="2">
        <v>287</v>
      </c>
      <c r="B288" s="2" t="s">
        <v>878</v>
      </c>
      <c r="C288" s="2" t="s">
        <v>1954</v>
      </c>
      <c r="D288" s="2">
        <v>15000</v>
      </c>
    </row>
    <row r="289" spans="1:4" x14ac:dyDescent="0.3">
      <c r="A289" s="2">
        <v>288</v>
      </c>
      <c r="B289" s="2" t="s">
        <v>884</v>
      </c>
      <c r="C289" s="2" t="s">
        <v>1955</v>
      </c>
      <c r="D289" s="2">
        <v>12740</v>
      </c>
    </row>
    <row r="290" spans="1:4" x14ac:dyDescent="0.3">
      <c r="A290" s="2">
        <v>289</v>
      </c>
      <c r="B290" s="2" t="s">
        <v>1956</v>
      </c>
      <c r="C290" s="2" t="s">
        <v>1957</v>
      </c>
      <c r="D290" s="2">
        <v>12600</v>
      </c>
    </row>
    <row r="291" spans="1:4" x14ac:dyDescent="0.3">
      <c r="A291" s="2">
        <v>290</v>
      </c>
      <c r="B291" s="2" t="s">
        <v>1958</v>
      </c>
      <c r="C291" s="2" t="s">
        <v>1959</v>
      </c>
      <c r="D291" s="2">
        <v>18000</v>
      </c>
    </row>
    <row r="292" spans="1:4" x14ac:dyDescent="0.3">
      <c r="A292" s="2">
        <v>291</v>
      </c>
      <c r="B292" s="2" t="s">
        <v>887</v>
      </c>
      <c r="C292" s="2" t="s">
        <v>1960</v>
      </c>
      <c r="D292" s="2">
        <v>16200</v>
      </c>
    </row>
    <row r="293" spans="1:4" x14ac:dyDescent="0.3">
      <c r="A293" s="2">
        <v>292</v>
      </c>
      <c r="B293" s="2" t="s">
        <v>1961</v>
      </c>
      <c r="C293" s="2" t="s">
        <v>1962</v>
      </c>
      <c r="D293" s="2">
        <v>13500</v>
      </c>
    </row>
    <row r="294" spans="1:4" x14ac:dyDescent="0.3">
      <c r="A294" s="2">
        <v>293</v>
      </c>
      <c r="B294" s="2" t="s">
        <v>1418</v>
      </c>
      <c r="C294" s="2" t="s">
        <v>1963</v>
      </c>
      <c r="D294" s="2">
        <v>9000</v>
      </c>
    </row>
    <row r="295" spans="1:4" x14ac:dyDescent="0.3">
      <c r="A295" s="2">
        <v>294</v>
      </c>
      <c r="B295" s="2" t="s">
        <v>1964</v>
      </c>
      <c r="C295" s="2" t="s">
        <v>1965</v>
      </c>
      <c r="D295" s="2">
        <v>15000</v>
      </c>
    </row>
    <row r="296" spans="1:4" x14ac:dyDescent="0.3">
      <c r="A296" s="2">
        <v>295</v>
      </c>
      <c r="B296" s="2" t="s">
        <v>1966</v>
      </c>
      <c r="C296" s="2" t="s">
        <v>1967</v>
      </c>
      <c r="D296" s="2">
        <v>15500</v>
      </c>
    </row>
    <row r="297" spans="1:4" x14ac:dyDescent="0.3">
      <c r="A297" s="2">
        <v>296</v>
      </c>
      <c r="B297" s="2" t="s">
        <v>899</v>
      </c>
      <c r="C297" s="2" t="s">
        <v>1968</v>
      </c>
      <c r="D297" s="2">
        <v>7200</v>
      </c>
    </row>
    <row r="298" spans="1:4" x14ac:dyDescent="0.3">
      <c r="A298" s="2">
        <v>297</v>
      </c>
      <c r="B298" s="2" t="s">
        <v>1969</v>
      </c>
      <c r="C298" s="2" t="s">
        <v>1970</v>
      </c>
      <c r="D298" s="2">
        <v>5000</v>
      </c>
    </row>
    <row r="299" spans="1:4" x14ac:dyDescent="0.3">
      <c r="A299" s="2">
        <v>298</v>
      </c>
      <c r="B299" s="2" t="s">
        <v>1971</v>
      </c>
      <c r="C299" s="2" t="s">
        <v>1972</v>
      </c>
      <c r="D299" s="2">
        <v>10800</v>
      </c>
    </row>
    <row r="300" spans="1:4" x14ac:dyDescent="0.3">
      <c r="A300" s="2">
        <v>299</v>
      </c>
      <c r="B300" s="2" t="s">
        <v>1973</v>
      </c>
      <c r="C300" s="2" t="s">
        <v>1974</v>
      </c>
      <c r="D300" s="2">
        <v>9000</v>
      </c>
    </row>
    <row r="301" spans="1:4" x14ac:dyDescent="0.3">
      <c r="A301" s="2">
        <v>300</v>
      </c>
      <c r="B301" s="2" t="s">
        <v>1429</v>
      </c>
      <c r="C301" s="2" t="s">
        <v>1975</v>
      </c>
      <c r="D301" s="2">
        <v>9900</v>
      </c>
    </row>
    <row r="302" spans="1:4" x14ac:dyDescent="0.3">
      <c r="A302" s="2">
        <v>301</v>
      </c>
      <c r="B302" s="2" t="s">
        <v>908</v>
      </c>
      <c r="C302" s="2" t="s">
        <v>1976</v>
      </c>
      <c r="D302" s="2">
        <v>3300</v>
      </c>
    </row>
    <row r="303" spans="1:4" x14ac:dyDescent="0.3">
      <c r="A303" s="2">
        <v>302</v>
      </c>
      <c r="B303" s="2" t="s">
        <v>1977</v>
      </c>
      <c r="C303" s="2" t="s">
        <v>1978</v>
      </c>
      <c r="D303" s="2">
        <v>6200</v>
      </c>
    </row>
    <row r="304" spans="1:4" x14ac:dyDescent="0.3">
      <c r="A304" s="2">
        <v>303</v>
      </c>
      <c r="B304" s="2" t="s">
        <v>1979</v>
      </c>
      <c r="C304" s="2" t="s">
        <v>1980</v>
      </c>
      <c r="D304" s="2">
        <v>27000</v>
      </c>
    </row>
    <row r="305" spans="1:4" x14ac:dyDescent="0.3">
      <c r="A305" s="2">
        <v>304</v>
      </c>
      <c r="B305" s="2" t="s">
        <v>1981</v>
      </c>
      <c r="C305" s="2" t="s">
        <v>1982</v>
      </c>
      <c r="D305" s="2">
        <v>12150</v>
      </c>
    </row>
    <row r="306" spans="1:4" x14ac:dyDescent="0.3">
      <c r="A306" s="2">
        <v>305</v>
      </c>
      <c r="B306" s="2" t="s">
        <v>1983</v>
      </c>
      <c r="C306" s="2" t="s">
        <v>1984</v>
      </c>
      <c r="D306" s="2">
        <v>16200</v>
      </c>
    </row>
    <row r="307" spans="1:4" x14ac:dyDescent="0.3">
      <c r="A307" s="2">
        <v>306</v>
      </c>
      <c r="B307" s="2" t="s">
        <v>1985</v>
      </c>
      <c r="C307" s="2" t="s">
        <v>1986</v>
      </c>
      <c r="D307" s="2">
        <v>9900</v>
      </c>
    </row>
    <row r="308" spans="1:4" x14ac:dyDescent="0.3">
      <c r="A308" s="2">
        <v>307</v>
      </c>
      <c r="B308" s="2" t="s">
        <v>1987</v>
      </c>
      <c r="C308" s="2" t="s">
        <v>1988</v>
      </c>
      <c r="D308" s="2">
        <v>12150</v>
      </c>
    </row>
    <row r="309" spans="1:4" x14ac:dyDescent="0.3">
      <c r="A309" s="2">
        <v>308</v>
      </c>
      <c r="B309" s="2" t="s">
        <v>1989</v>
      </c>
      <c r="C309" s="2" t="s">
        <v>1990</v>
      </c>
      <c r="D309" s="2">
        <v>11700</v>
      </c>
    </row>
    <row r="310" spans="1:4" x14ac:dyDescent="0.3">
      <c r="A310" s="2">
        <v>309</v>
      </c>
      <c r="B310" s="2" t="s">
        <v>1991</v>
      </c>
      <c r="C310" s="2" t="s">
        <v>1992</v>
      </c>
      <c r="D310" s="2">
        <v>6000</v>
      </c>
    </row>
    <row r="311" spans="1:4" x14ac:dyDescent="0.3">
      <c r="A311" s="2">
        <v>310</v>
      </c>
      <c r="B311" s="2" t="s">
        <v>1993</v>
      </c>
      <c r="C311" s="2" t="s">
        <v>1994</v>
      </c>
      <c r="D311" s="2">
        <v>6700</v>
      </c>
    </row>
    <row r="312" spans="1:4" x14ac:dyDescent="0.3">
      <c r="A312" s="2">
        <v>311</v>
      </c>
      <c r="B312" s="2" t="s">
        <v>923</v>
      </c>
      <c r="C312" s="2" t="s">
        <v>1995</v>
      </c>
      <c r="D312" s="2">
        <v>6400</v>
      </c>
    </row>
    <row r="313" spans="1:4" x14ac:dyDescent="0.3">
      <c r="A313" s="2">
        <v>312</v>
      </c>
      <c r="B313" s="2" t="s">
        <v>1996</v>
      </c>
      <c r="C313" s="2" t="s">
        <v>1997</v>
      </c>
      <c r="D313" s="2">
        <v>8000</v>
      </c>
    </row>
    <row r="314" spans="1:4" x14ac:dyDescent="0.3">
      <c r="A314" s="2">
        <v>313</v>
      </c>
      <c r="B314" s="2" t="s">
        <v>1998</v>
      </c>
      <c r="C314" s="2" t="s">
        <v>1999</v>
      </c>
      <c r="D314" s="2">
        <v>9000</v>
      </c>
    </row>
    <row r="315" spans="1:4" x14ac:dyDescent="0.3">
      <c r="A315" s="2">
        <v>314</v>
      </c>
      <c r="B315" s="2" t="s">
        <v>2000</v>
      </c>
      <c r="C315" s="2" t="s">
        <v>2001</v>
      </c>
      <c r="D315" s="2">
        <v>7200</v>
      </c>
    </row>
    <row r="316" spans="1:4" x14ac:dyDescent="0.3">
      <c r="A316" s="2">
        <v>315</v>
      </c>
      <c r="B316" s="2" t="s">
        <v>2002</v>
      </c>
      <c r="C316" s="2" t="s">
        <v>2003</v>
      </c>
      <c r="D316" s="2">
        <v>4900</v>
      </c>
    </row>
    <row r="317" spans="1:4" x14ac:dyDescent="0.3">
      <c r="A317" s="2">
        <v>316</v>
      </c>
      <c r="B317" s="2" t="s">
        <v>2004</v>
      </c>
      <c r="C317" s="2" t="s">
        <v>2005</v>
      </c>
      <c r="D317" s="2">
        <v>5500</v>
      </c>
    </row>
    <row r="318" spans="1:4" x14ac:dyDescent="0.3">
      <c r="A318" s="2">
        <v>317</v>
      </c>
      <c r="B318" s="2" t="s">
        <v>2006</v>
      </c>
      <c r="C318" s="2" t="s">
        <v>2007</v>
      </c>
      <c r="D318" s="2">
        <v>12600</v>
      </c>
    </row>
    <row r="319" spans="1:4" x14ac:dyDescent="0.3">
      <c r="A319" s="2">
        <v>318</v>
      </c>
      <c r="B319" s="2" t="s">
        <v>2008</v>
      </c>
      <c r="C319" s="2" t="s">
        <v>2009</v>
      </c>
      <c r="D319" s="2">
        <v>14000</v>
      </c>
    </row>
    <row r="320" spans="1:4" x14ac:dyDescent="0.3">
      <c r="A320" s="2">
        <v>319</v>
      </c>
      <c r="B320" s="2" t="s">
        <v>2010</v>
      </c>
      <c r="C320" s="2" t="s">
        <v>2011</v>
      </c>
      <c r="D320" s="2">
        <v>10800</v>
      </c>
    </row>
    <row r="321" spans="1:4" x14ac:dyDescent="0.3">
      <c r="A321" s="2">
        <v>320</v>
      </c>
      <c r="B321" s="2" t="s">
        <v>2012</v>
      </c>
      <c r="C321" s="2" t="s">
        <v>2013</v>
      </c>
      <c r="D321" s="2">
        <v>8000</v>
      </c>
    </row>
    <row r="322" spans="1:4" x14ac:dyDescent="0.3">
      <c r="A322" s="2">
        <v>321</v>
      </c>
      <c r="B322" s="2" t="s">
        <v>2014</v>
      </c>
      <c r="C322" s="2" t="s">
        <v>2015</v>
      </c>
      <c r="D322" s="2">
        <v>10800</v>
      </c>
    </row>
    <row r="323" spans="1:4" x14ac:dyDescent="0.3">
      <c r="A323" s="2">
        <v>322</v>
      </c>
      <c r="B323" s="2" t="s">
        <v>1424</v>
      </c>
      <c r="C323" s="2" t="s">
        <v>2016</v>
      </c>
      <c r="D323" s="2">
        <v>10800</v>
      </c>
    </row>
    <row r="324" spans="1:4" x14ac:dyDescent="0.3">
      <c r="A324" s="2">
        <v>323</v>
      </c>
      <c r="B324" s="2" t="s">
        <v>2017</v>
      </c>
      <c r="C324" s="2" t="s">
        <v>2018</v>
      </c>
      <c r="D324" s="2">
        <v>5500</v>
      </c>
    </row>
    <row r="325" spans="1:4" x14ac:dyDescent="0.3">
      <c r="A325" s="2">
        <v>324</v>
      </c>
      <c r="B325" s="2" t="s">
        <v>2019</v>
      </c>
      <c r="C325" s="2" t="s">
        <v>2020</v>
      </c>
      <c r="D325" s="2">
        <v>10800</v>
      </c>
    </row>
    <row r="326" spans="1:4" x14ac:dyDescent="0.3">
      <c r="A326" s="2">
        <v>325</v>
      </c>
      <c r="B326" s="2" t="s">
        <v>2021</v>
      </c>
      <c r="C326" s="2" t="s">
        <v>2022</v>
      </c>
      <c r="D326" s="2">
        <v>8500</v>
      </c>
    </row>
    <row r="327" spans="1:4" x14ac:dyDescent="0.3">
      <c r="A327" s="2">
        <v>326</v>
      </c>
      <c r="B327" s="2" t="s">
        <v>2023</v>
      </c>
      <c r="C327" s="2" t="s">
        <v>2024</v>
      </c>
      <c r="D327" s="2">
        <v>1300</v>
      </c>
    </row>
    <row r="328" spans="1:4" x14ac:dyDescent="0.3">
      <c r="A328" s="2">
        <v>327</v>
      </c>
      <c r="B328" s="2" t="s">
        <v>2025</v>
      </c>
      <c r="C328" s="2" t="s">
        <v>2026</v>
      </c>
      <c r="D328" s="2">
        <v>11000</v>
      </c>
    </row>
    <row r="329" spans="1:4" x14ac:dyDescent="0.3">
      <c r="A329" s="2">
        <v>328</v>
      </c>
      <c r="B329" s="2" t="s">
        <v>2027</v>
      </c>
      <c r="C329" s="2" t="s">
        <v>2028</v>
      </c>
      <c r="D329" s="2">
        <v>15300</v>
      </c>
    </row>
    <row r="330" spans="1:4" x14ac:dyDescent="0.3">
      <c r="A330" s="2">
        <v>329</v>
      </c>
      <c r="B330" s="2" t="s">
        <v>2029</v>
      </c>
      <c r="C330" s="2" t="s">
        <v>1959</v>
      </c>
      <c r="D330" s="2">
        <v>18000</v>
      </c>
    </row>
    <row r="331" spans="1:4" x14ac:dyDescent="0.3">
      <c r="A331" s="2">
        <v>330</v>
      </c>
      <c r="B331" s="2" t="s">
        <v>962</v>
      </c>
      <c r="C331" s="2" t="s">
        <v>1949</v>
      </c>
      <c r="D331" s="2">
        <v>13500</v>
      </c>
    </row>
    <row r="332" spans="1:4" x14ac:dyDescent="0.3">
      <c r="A332" s="2">
        <v>331</v>
      </c>
      <c r="B332" s="2" t="s">
        <v>971</v>
      </c>
      <c r="C332" s="2" t="s">
        <v>1944</v>
      </c>
      <c r="D332" s="2">
        <v>13500</v>
      </c>
    </row>
    <row r="333" spans="1:4" x14ac:dyDescent="0.3">
      <c r="A333" s="2">
        <v>332</v>
      </c>
      <c r="B333" s="2" t="s">
        <v>2030</v>
      </c>
      <c r="C333" s="2" t="s">
        <v>2031</v>
      </c>
      <c r="D333" s="2">
        <v>15930</v>
      </c>
    </row>
    <row r="334" spans="1:4" x14ac:dyDescent="0.3">
      <c r="A334" s="2">
        <v>333</v>
      </c>
      <c r="B334" s="2" t="s">
        <v>2032</v>
      </c>
      <c r="C334" s="2" t="s">
        <v>2033</v>
      </c>
      <c r="D334" s="2">
        <v>6000</v>
      </c>
    </row>
    <row r="335" spans="1:4" x14ac:dyDescent="0.3">
      <c r="A335" s="2">
        <v>334</v>
      </c>
      <c r="B335" s="2" t="s">
        <v>2034</v>
      </c>
      <c r="C335" s="2" t="s">
        <v>2035</v>
      </c>
      <c r="D335" s="2">
        <v>6200</v>
      </c>
    </row>
    <row r="336" spans="1:4" x14ac:dyDescent="0.3">
      <c r="A336" s="2">
        <v>335</v>
      </c>
      <c r="B336" s="2" t="s">
        <v>2036</v>
      </c>
      <c r="C336" s="2" t="s">
        <v>2037</v>
      </c>
      <c r="D336" s="2">
        <v>16500</v>
      </c>
    </row>
    <row r="337" spans="1:4" x14ac:dyDescent="0.3">
      <c r="A337" s="2">
        <v>336</v>
      </c>
      <c r="B337" s="2" t="s">
        <v>2038</v>
      </c>
      <c r="C337" s="2" t="s">
        <v>2039</v>
      </c>
      <c r="D337" s="2">
        <v>7200</v>
      </c>
    </row>
    <row r="338" spans="1:4" x14ac:dyDescent="0.3">
      <c r="A338" s="2">
        <v>337</v>
      </c>
      <c r="B338" s="2" t="s">
        <v>2040</v>
      </c>
      <c r="C338" s="2" t="s">
        <v>2041</v>
      </c>
      <c r="D338" s="2">
        <v>9000</v>
      </c>
    </row>
    <row r="339" spans="1:4" x14ac:dyDescent="0.3">
      <c r="A339" s="2">
        <v>338</v>
      </c>
      <c r="B339" s="2" t="s">
        <v>2042</v>
      </c>
      <c r="C339" s="2" t="s">
        <v>2043</v>
      </c>
      <c r="D339" s="2">
        <v>10980</v>
      </c>
    </row>
    <row r="340" spans="1:4" x14ac:dyDescent="0.3">
      <c r="A340" s="2">
        <v>339</v>
      </c>
      <c r="B340" s="2" t="s">
        <v>2044</v>
      </c>
      <c r="C340" s="2" t="s">
        <v>2045</v>
      </c>
      <c r="D340" s="2">
        <v>10800</v>
      </c>
    </row>
    <row r="341" spans="1:4" x14ac:dyDescent="0.3">
      <c r="A341" s="2">
        <v>340</v>
      </c>
      <c r="B341" s="2" t="s">
        <v>2046</v>
      </c>
      <c r="C341" s="2" t="s">
        <v>2047</v>
      </c>
      <c r="D341" s="2">
        <v>12000</v>
      </c>
    </row>
    <row r="342" spans="1:4" x14ac:dyDescent="0.3">
      <c r="A342" s="2">
        <v>341</v>
      </c>
      <c r="B342" s="2" t="s">
        <v>977</v>
      </c>
      <c r="C342" s="2" t="s">
        <v>2048</v>
      </c>
      <c r="D342" s="2">
        <v>7500</v>
      </c>
    </row>
    <row r="343" spans="1:4" x14ac:dyDescent="0.3">
      <c r="A343" s="2">
        <v>342</v>
      </c>
      <c r="B343" s="2" t="s">
        <v>986</v>
      </c>
      <c r="C343" s="2" t="s">
        <v>2049</v>
      </c>
      <c r="D343" s="2">
        <v>4800</v>
      </c>
    </row>
    <row r="344" spans="1:4" x14ac:dyDescent="0.3">
      <c r="A344" s="2">
        <v>343</v>
      </c>
      <c r="B344" s="2" t="s">
        <v>2050</v>
      </c>
      <c r="C344" s="2" t="s">
        <v>2051</v>
      </c>
      <c r="D344" s="2">
        <v>4500</v>
      </c>
    </row>
    <row r="345" spans="1:4" x14ac:dyDescent="0.3">
      <c r="A345" s="2">
        <v>344</v>
      </c>
      <c r="B345" s="2" t="s">
        <v>2052</v>
      </c>
      <c r="C345" s="2" t="s">
        <v>2053</v>
      </c>
      <c r="D345" s="2">
        <v>10800</v>
      </c>
    </row>
    <row r="346" spans="1:4" x14ac:dyDescent="0.3">
      <c r="A346" s="2">
        <v>345</v>
      </c>
      <c r="B346" s="2" t="s">
        <v>2054</v>
      </c>
      <c r="C346" s="2" t="s">
        <v>2055</v>
      </c>
      <c r="D346" s="2">
        <v>8000</v>
      </c>
    </row>
    <row r="347" spans="1:4" x14ac:dyDescent="0.3">
      <c r="A347" s="2">
        <v>346</v>
      </c>
      <c r="B347" s="2" t="s">
        <v>2056</v>
      </c>
      <c r="C347" s="2" t="s">
        <v>2057</v>
      </c>
      <c r="D347" s="2">
        <v>6750</v>
      </c>
    </row>
    <row r="348" spans="1:4" x14ac:dyDescent="0.3">
      <c r="A348" s="2">
        <v>347</v>
      </c>
      <c r="B348" s="2" t="s">
        <v>2058</v>
      </c>
      <c r="C348" s="2" t="s">
        <v>2059</v>
      </c>
      <c r="D348" s="2">
        <v>8500</v>
      </c>
    </row>
    <row r="349" spans="1:4" x14ac:dyDescent="0.3">
      <c r="A349" s="2">
        <v>348</v>
      </c>
      <c r="B349" s="2" t="s">
        <v>2060</v>
      </c>
      <c r="C349" s="2" t="s">
        <v>2061</v>
      </c>
      <c r="D349" s="2">
        <v>6500</v>
      </c>
    </row>
    <row r="350" spans="1:4" x14ac:dyDescent="0.3">
      <c r="A350" s="2">
        <v>349</v>
      </c>
      <c r="B350" s="2" t="s">
        <v>2062</v>
      </c>
      <c r="C350" s="2" t="s">
        <v>2063</v>
      </c>
      <c r="D350" s="2">
        <v>14000</v>
      </c>
    </row>
    <row r="351" spans="1:4" x14ac:dyDescent="0.3">
      <c r="A351" s="2">
        <v>350</v>
      </c>
      <c r="B351" s="2" t="s">
        <v>2064</v>
      </c>
      <c r="C351" s="2" t="s">
        <v>2065</v>
      </c>
      <c r="D351" s="2">
        <v>11000</v>
      </c>
    </row>
    <row r="352" spans="1:4" x14ac:dyDescent="0.3">
      <c r="A352" s="2">
        <v>351</v>
      </c>
      <c r="B352" s="2" t="s">
        <v>2066</v>
      </c>
      <c r="C352" s="2" t="s">
        <v>2067</v>
      </c>
      <c r="D352" s="2">
        <v>9000</v>
      </c>
    </row>
    <row r="353" spans="1:4" x14ac:dyDescent="0.3">
      <c r="A353" s="2">
        <v>352</v>
      </c>
      <c r="B353" s="2" t="s">
        <v>2068</v>
      </c>
      <c r="C353" s="2" t="s">
        <v>2069</v>
      </c>
      <c r="D353" s="2">
        <v>14400</v>
      </c>
    </row>
    <row r="354" spans="1:4" x14ac:dyDescent="0.3">
      <c r="A354" s="2">
        <v>353</v>
      </c>
      <c r="B354" s="2" t="s">
        <v>2070</v>
      </c>
      <c r="C354" s="2" t="s">
        <v>2071</v>
      </c>
      <c r="D354" s="2">
        <v>7500</v>
      </c>
    </row>
    <row r="355" spans="1:4" x14ac:dyDescent="0.3">
      <c r="A355" s="2">
        <v>354</v>
      </c>
      <c r="B355" s="2" t="s">
        <v>2072</v>
      </c>
      <c r="C355" s="2" t="s">
        <v>2073</v>
      </c>
      <c r="D355" s="2">
        <v>18000</v>
      </c>
    </row>
    <row r="356" spans="1:4" x14ac:dyDescent="0.3">
      <c r="A356" s="2">
        <v>355</v>
      </c>
      <c r="B356" s="2" t="s">
        <v>2074</v>
      </c>
      <c r="C356" s="2" t="s">
        <v>2075</v>
      </c>
      <c r="D356" s="2">
        <v>20700</v>
      </c>
    </row>
    <row r="357" spans="1:4" x14ac:dyDescent="0.3">
      <c r="A357" s="2">
        <v>356</v>
      </c>
      <c r="B357" s="2" t="s">
        <v>1007</v>
      </c>
      <c r="C357" s="2" t="s">
        <v>2076</v>
      </c>
      <c r="D357" s="2">
        <v>5000</v>
      </c>
    </row>
    <row r="358" spans="1:4" x14ac:dyDescent="0.3">
      <c r="A358" s="2">
        <v>357</v>
      </c>
      <c r="B358" s="2" t="s">
        <v>2077</v>
      </c>
      <c r="C358" s="2" t="s">
        <v>2078</v>
      </c>
      <c r="D358" s="2">
        <v>6600</v>
      </c>
    </row>
    <row r="359" spans="1:4" x14ac:dyDescent="0.3">
      <c r="A359" s="2">
        <v>358</v>
      </c>
      <c r="B359" s="2" t="s">
        <v>2079</v>
      </c>
      <c r="C359" s="2" t="s">
        <v>2080</v>
      </c>
      <c r="D359" s="2">
        <v>3300</v>
      </c>
    </row>
    <row r="360" spans="1:4" x14ac:dyDescent="0.3">
      <c r="A360" s="2">
        <v>359</v>
      </c>
      <c r="B360" s="2" t="s">
        <v>1010</v>
      </c>
      <c r="C360" s="2" t="s">
        <v>2081</v>
      </c>
      <c r="D360" s="2">
        <v>5400</v>
      </c>
    </row>
    <row r="361" spans="1:4" x14ac:dyDescent="0.3">
      <c r="A361" s="2">
        <v>360</v>
      </c>
      <c r="B361" s="2" t="s">
        <v>2082</v>
      </c>
      <c r="C361" s="2" t="s">
        <v>2083</v>
      </c>
      <c r="D361" s="2">
        <v>8000</v>
      </c>
    </row>
    <row r="362" spans="1:4" x14ac:dyDescent="0.3">
      <c r="A362" s="2">
        <v>361</v>
      </c>
      <c r="B362" s="2" t="s">
        <v>2084</v>
      </c>
      <c r="C362" s="2" t="s">
        <v>2085</v>
      </c>
      <c r="D362" s="2">
        <v>7200</v>
      </c>
    </row>
    <row r="363" spans="1:4" x14ac:dyDescent="0.3">
      <c r="A363" s="2">
        <v>362</v>
      </c>
      <c r="B363" s="2" t="s">
        <v>2086</v>
      </c>
      <c r="C363" s="2" t="s">
        <v>2087</v>
      </c>
      <c r="D363" s="2">
        <v>7000</v>
      </c>
    </row>
    <row r="364" spans="1:4" x14ac:dyDescent="0.3">
      <c r="A364" s="2">
        <v>363</v>
      </c>
      <c r="B364" s="2" t="s">
        <v>2088</v>
      </c>
      <c r="C364" s="2" t="s">
        <v>2089</v>
      </c>
      <c r="D364" s="2">
        <v>9000</v>
      </c>
    </row>
    <row r="365" spans="1:4" x14ac:dyDescent="0.3">
      <c r="A365" s="2">
        <v>364</v>
      </c>
      <c r="B365" s="2" t="s">
        <v>2090</v>
      </c>
      <c r="C365" s="2" t="s">
        <v>2091</v>
      </c>
      <c r="D365" s="2">
        <v>8000</v>
      </c>
    </row>
    <row r="366" spans="1:4" x14ac:dyDescent="0.3">
      <c r="A366" s="2">
        <v>365</v>
      </c>
      <c r="B366" s="2" t="s">
        <v>2092</v>
      </c>
      <c r="C366" s="2" t="s">
        <v>2093</v>
      </c>
      <c r="D366" s="2">
        <v>27000</v>
      </c>
    </row>
    <row r="367" spans="1:4" x14ac:dyDescent="0.3">
      <c r="A367" s="2">
        <v>366</v>
      </c>
      <c r="B367" s="2" t="s">
        <v>2094</v>
      </c>
      <c r="C367" s="2" t="s">
        <v>2095</v>
      </c>
      <c r="D367" s="2">
        <v>13000</v>
      </c>
    </row>
    <row r="368" spans="1:4" x14ac:dyDescent="0.3">
      <c r="A368" s="2">
        <v>367</v>
      </c>
      <c r="B368" s="2" t="s">
        <v>2096</v>
      </c>
      <c r="C368" s="2" t="s">
        <v>2097</v>
      </c>
      <c r="D368" s="2">
        <v>17000</v>
      </c>
    </row>
    <row r="369" spans="1:4" x14ac:dyDescent="0.3">
      <c r="A369" s="2">
        <v>368</v>
      </c>
      <c r="B369" s="2" t="s">
        <v>1034</v>
      </c>
      <c r="C369" s="2" t="s">
        <v>2098</v>
      </c>
      <c r="D369" s="2">
        <v>11700</v>
      </c>
    </row>
    <row r="370" spans="1:4" x14ac:dyDescent="0.3">
      <c r="A370" s="2">
        <v>369</v>
      </c>
      <c r="B370" s="2" t="s">
        <v>2099</v>
      </c>
      <c r="C370" s="2" t="s">
        <v>2100</v>
      </c>
      <c r="D370" s="2">
        <v>4800</v>
      </c>
    </row>
    <row r="371" spans="1:4" x14ac:dyDescent="0.3">
      <c r="A371" s="2">
        <v>370</v>
      </c>
      <c r="B371" s="2" t="s">
        <v>2101</v>
      </c>
      <c r="C371" s="2" t="s">
        <v>2102</v>
      </c>
      <c r="D371" s="2">
        <v>10800</v>
      </c>
    </row>
    <row r="372" spans="1:4" x14ac:dyDescent="0.3">
      <c r="A372" s="2">
        <v>371</v>
      </c>
      <c r="B372" s="2" t="s">
        <v>2103</v>
      </c>
      <c r="C372" s="2" t="s">
        <v>2104</v>
      </c>
      <c r="D372" s="2">
        <v>7000</v>
      </c>
    </row>
    <row r="373" spans="1:4" x14ac:dyDescent="0.3">
      <c r="A373" s="2">
        <v>372</v>
      </c>
      <c r="B373" s="2" t="s">
        <v>1040</v>
      </c>
      <c r="C373" s="2" t="s">
        <v>2105</v>
      </c>
      <c r="D373" s="2">
        <v>6300</v>
      </c>
    </row>
    <row r="374" spans="1:4" x14ac:dyDescent="0.3">
      <c r="A374" s="2">
        <v>373</v>
      </c>
      <c r="B374" s="2" t="s">
        <v>2106</v>
      </c>
      <c r="C374" s="2" t="s">
        <v>2107</v>
      </c>
      <c r="D374" s="2">
        <v>29800</v>
      </c>
    </row>
    <row r="375" spans="1:4" x14ac:dyDescent="0.3">
      <c r="A375" s="2">
        <v>374</v>
      </c>
      <c r="B375" s="2" t="s">
        <v>2108</v>
      </c>
      <c r="C375" s="2" t="s">
        <v>2109</v>
      </c>
      <c r="D375" s="2">
        <v>19800</v>
      </c>
    </row>
    <row r="376" spans="1:4" x14ac:dyDescent="0.3">
      <c r="A376" s="2">
        <v>375</v>
      </c>
      <c r="B376" s="2" t="s">
        <v>2110</v>
      </c>
      <c r="C376" s="2" t="s">
        <v>2111</v>
      </c>
      <c r="D376" s="2">
        <v>13000</v>
      </c>
    </row>
    <row r="377" spans="1:4" x14ac:dyDescent="0.3">
      <c r="A377" s="2">
        <v>376</v>
      </c>
      <c r="B377" s="2" t="s">
        <v>2112</v>
      </c>
      <c r="C377" s="2" t="s">
        <v>2113</v>
      </c>
      <c r="D377" s="2">
        <v>7800</v>
      </c>
    </row>
    <row r="378" spans="1:4" x14ac:dyDescent="0.3">
      <c r="A378" s="2">
        <v>377</v>
      </c>
      <c r="B378" s="2" t="s">
        <v>2114</v>
      </c>
      <c r="C378" s="2" t="s">
        <v>2115</v>
      </c>
      <c r="D378" s="2">
        <v>7500</v>
      </c>
    </row>
    <row r="379" spans="1:4" x14ac:dyDescent="0.3">
      <c r="A379" s="2">
        <v>378</v>
      </c>
      <c r="B379" s="2" t="s">
        <v>2116</v>
      </c>
      <c r="C379" s="2" t="s">
        <v>2117</v>
      </c>
      <c r="D379" s="2">
        <v>20000</v>
      </c>
    </row>
    <row r="380" spans="1:4" x14ac:dyDescent="0.3">
      <c r="A380" s="2">
        <v>379</v>
      </c>
      <c r="B380" s="2" t="s">
        <v>2118</v>
      </c>
      <c r="C380" s="2" t="s">
        <v>2119</v>
      </c>
      <c r="D380" s="2">
        <v>14000</v>
      </c>
    </row>
    <row r="381" spans="1:4" x14ac:dyDescent="0.3">
      <c r="A381" s="2">
        <v>380</v>
      </c>
      <c r="B381" s="2" t="s">
        <v>1052</v>
      </c>
      <c r="C381" s="2" t="s">
        <v>2120</v>
      </c>
      <c r="D381" s="2">
        <v>17100</v>
      </c>
    </row>
    <row r="382" spans="1:4" x14ac:dyDescent="0.3">
      <c r="A382" s="2">
        <v>381</v>
      </c>
      <c r="B382" s="2" t="s">
        <v>2121</v>
      </c>
      <c r="C382" s="2" t="s">
        <v>2122</v>
      </c>
      <c r="D382" s="2">
        <v>6600</v>
      </c>
    </row>
    <row r="383" spans="1:4" x14ac:dyDescent="0.3">
      <c r="A383" s="2">
        <v>382</v>
      </c>
      <c r="B383" s="2" t="s">
        <v>2123</v>
      </c>
      <c r="C383" s="2" t="s">
        <v>2124</v>
      </c>
      <c r="D383" s="2">
        <v>6600</v>
      </c>
    </row>
    <row r="384" spans="1:4" x14ac:dyDescent="0.3">
      <c r="A384" s="2">
        <v>383</v>
      </c>
      <c r="B384" s="2" t="s">
        <v>1055</v>
      </c>
      <c r="C384" s="2" t="s">
        <v>2125</v>
      </c>
      <c r="D384" s="2">
        <v>27000</v>
      </c>
    </row>
    <row r="385" spans="1:4" x14ac:dyDescent="0.3">
      <c r="A385" s="2">
        <v>384</v>
      </c>
      <c r="B385" s="2" t="s">
        <v>1427</v>
      </c>
      <c r="C385" s="2" t="s">
        <v>2126</v>
      </c>
      <c r="D385" s="2">
        <v>7200</v>
      </c>
    </row>
    <row r="386" spans="1:4" x14ac:dyDescent="0.3">
      <c r="A386" s="2">
        <v>385</v>
      </c>
      <c r="B386" s="2" t="s">
        <v>1064</v>
      </c>
      <c r="C386" s="2" t="s">
        <v>2127</v>
      </c>
      <c r="D386" s="2">
        <v>14000</v>
      </c>
    </row>
    <row r="387" spans="1:4" x14ac:dyDescent="0.3">
      <c r="A387" s="2">
        <v>386</v>
      </c>
      <c r="B387" s="2" t="s">
        <v>2128</v>
      </c>
      <c r="C387" s="2" t="s">
        <v>2129</v>
      </c>
      <c r="D387" s="2">
        <v>9000</v>
      </c>
    </row>
    <row r="388" spans="1:4" x14ac:dyDescent="0.3">
      <c r="A388" s="2">
        <v>387</v>
      </c>
      <c r="B388" s="2" t="s">
        <v>2130</v>
      </c>
      <c r="C388" s="2" t="s">
        <v>2131</v>
      </c>
      <c r="D388" s="2">
        <v>5500</v>
      </c>
    </row>
    <row r="389" spans="1:4" x14ac:dyDescent="0.3">
      <c r="A389" s="2">
        <v>388</v>
      </c>
      <c r="B389" s="2" t="s">
        <v>2132</v>
      </c>
      <c r="C389" s="2" t="s">
        <v>2133</v>
      </c>
      <c r="D389" s="2">
        <v>6000</v>
      </c>
    </row>
    <row r="390" spans="1:4" x14ac:dyDescent="0.3">
      <c r="A390" s="2">
        <v>389</v>
      </c>
      <c r="B390" s="2" t="s">
        <v>2134</v>
      </c>
      <c r="C390" s="2" t="s">
        <v>2135</v>
      </c>
      <c r="D390" s="2">
        <v>5900</v>
      </c>
    </row>
    <row r="391" spans="1:4" x14ac:dyDescent="0.3">
      <c r="A391" s="2">
        <v>390</v>
      </c>
      <c r="B391" s="2" t="s">
        <v>2136</v>
      </c>
      <c r="C391" s="2" t="s">
        <v>2137</v>
      </c>
      <c r="D391" s="2">
        <v>9000</v>
      </c>
    </row>
    <row r="392" spans="1:4" x14ac:dyDescent="0.3">
      <c r="A392" s="2">
        <v>391</v>
      </c>
      <c r="B392" s="2" t="s">
        <v>2138</v>
      </c>
      <c r="C392" s="2" t="s">
        <v>2139</v>
      </c>
      <c r="D392" s="2">
        <v>25000</v>
      </c>
    </row>
    <row r="393" spans="1:4" x14ac:dyDescent="0.3">
      <c r="A393" s="2">
        <v>392</v>
      </c>
      <c r="B393" s="2" t="s">
        <v>2140</v>
      </c>
      <c r="C393" s="2" t="s">
        <v>2141</v>
      </c>
      <c r="D393" s="2">
        <v>11700</v>
      </c>
    </row>
    <row r="394" spans="1:4" x14ac:dyDescent="0.3">
      <c r="A394" s="2">
        <v>393</v>
      </c>
      <c r="B394" s="2" t="s">
        <v>2142</v>
      </c>
      <c r="C394" s="2" t="s">
        <v>2143</v>
      </c>
      <c r="D394" s="2">
        <v>10800</v>
      </c>
    </row>
    <row r="395" spans="1:4" x14ac:dyDescent="0.3">
      <c r="A395" s="2">
        <v>394</v>
      </c>
      <c r="B395" s="2" t="s">
        <v>2144</v>
      </c>
      <c r="C395" s="2" t="s">
        <v>2145</v>
      </c>
      <c r="D395" s="2">
        <v>4800</v>
      </c>
    </row>
    <row r="396" spans="1:4" x14ac:dyDescent="0.3">
      <c r="A396" s="2">
        <v>395</v>
      </c>
      <c r="B396" s="2" t="s">
        <v>1085</v>
      </c>
      <c r="C396" s="2" t="s">
        <v>2146</v>
      </c>
      <c r="D396" s="2">
        <v>9900</v>
      </c>
    </row>
    <row r="397" spans="1:4" x14ac:dyDescent="0.3">
      <c r="A397" s="2">
        <v>396</v>
      </c>
      <c r="B397" s="2" t="s">
        <v>2147</v>
      </c>
      <c r="C397" s="2" t="s">
        <v>2148</v>
      </c>
      <c r="D397" s="2">
        <v>9000</v>
      </c>
    </row>
    <row r="398" spans="1:4" x14ac:dyDescent="0.3">
      <c r="A398" s="2">
        <v>397</v>
      </c>
      <c r="B398" s="2" t="s">
        <v>2149</v>
      </c>
      <c r="C398" s="2" t="s">
        <v>2150</v>
      </c>
      <c r="D398" s="2">
        <v>13000</v>
      </c>
    </row>
    <row r="399" spans="1:4" x14ac:dyDescent="0.3">
      <c r="A399" s="2">
        <v>398</v>
      </c>
      <c r="B399" s="2" t="s">
        <v>2151</v>
      </c>
      <c r="C399" s="2" t="s">
        <v>2152</v>
      </c>
      <c r="D399" s="2">
        <v>26000</v>
      </c>
    </row>
    <row r="400" spans="1:4" x14ac:dyDescent="0.3">
      <c r="A400" s="2">
        <v>399</v>
      </c>
      <c r="B400" s="2" t="s">
        <v>1091</v>
      </c>
      <c r="C400" s="2" t="s">
        <v>2153</v>
      </c>
      <c r="D400" s="2">
        <v>26000</v>
      </c>
    </row>
    <row r="401" spans="1:4" x14ac:dyDescent="0.3">
      <c r="A401" s="2">
        <v>400</v>
      </c>
      <c r="B401" s="2" t="s">
        <v>1106</v>
      </c>
      <c r="C401" s="2" t="s">
        <v>2154</v>
      </c>
      <c r="D401" s="2">
        <v>8500</v>
      </c>
    </row>
    <row r="402" spans="1:4" x14ac:dyDescent="0.3">
      <c r="A402" s="2">
        <v>401</v>
      </c>
      <c r="B402" s="2" t="s">
        <v>2155</v>
      </c>
      <c r="C402" s="2" t="s">
        <v>2156</v>
      </c>
      <c r="D402" s="2">
        <v>5800</v>
      </c>
    </row>
    <row r="403" spans="1:4" x14ac:dyDescent="0.3">
      <c r="A403" s="2">
        <v>402</v>
      </c>
      <c r="B403" s="2" t="s">
        <v>2157</v>
      </c>
      <c r="C403" s="2" t="s">
        <v>2158</v>
      </c>
      <c r="D403" s="2">
        <v>14400</v>
      </c>
    </row>
    <row r="404" spans="1:4" x14ac:dyDescent="0.3">
      <c r="A404" s="2">
        <v>403</v>
      </c>
      <c r="B404" s="2" t="s">
        <v>2159</v>
      </c>
      <c r="C404" s="2" t="s">
        <v>2160</v>
      </c>
      <c r="D404" s="2">
        <v>14000</v>
      </c>
    </row>
    <row r="405" spans="1:4" x14ac:dyDescent="0.3">
      <c r="A405" s="2">
        <v>404</v>
      </c>
      <c r="B405" s="2" t="s">
        <v>2161</v>
      </c>
      <c r="C405" s="2" t="s">
        <v>2162</v>
      </c>
      <c r="D405" s="2">
        <v>14000</v>
      </c>
    </row>
    <row r="406" spans="1:4" x14ac:dyDescent="0.3">
      <c r="A406" s="2">
        <v>405</v>
      </c>
      <c r="B406" s="2" t="s">
        <v>2163</v>
      </c>
      <c r="C406" s="2" t="s">
        <v>2164</v>
      </c>
      <c r="D406" s="2">
        <v>6600</v>
      </c>
    </row>
    <row r="407" spans="1:4" x14ac:dyDescent="0.3">
      <c r="A407" s="2">
        <v>406</v>
      </c>
      <c r="B407" s="2" t="s">
        <v>2165</v>
      </c>
      <c r="C407" s="2" t="s">
        <v>2166</v>
      </c>
      <c r="D407" s="2">
        <v>25000</v>
      </c>
    </row>
    <row r="408" spans="1:4" x14ac:dyDescent="0.3">
      <c r="A408" s="2">
        <v>407</v>
      </c>
      <c r="B408" s="2" t="s">
        <v>2167</v>
      </c>
      <c r="C408" s="2" t="s">
        <v>2168</v>
      </c>
      <c r="D408" s="2">
        <v>13000</v>
      </c>
    </row>
    <row r="409" spans="1:4" x14ac:dyDescent="0.3">
      <c r="A409" s="2">
        <v>408</v>
      </c>
      <c r="B409" s="2" t="s">
        <v>2169</v>
      </c>
      <c r="C409" s="2" t="s">
        <v>2170</v>
      </c>
      <c r="D409" s="2">
        <v>8000</v>
      </c>
    </row>
    <row r="410" spans="1:4" x14ac:dyDescent="0.3">
      <c r="A410" s="2">
        <v>409</v>
      </c>
      <c r="B410" s="2" t="s">
        <v>2171</v>
      </c>
      <c r="C410" s="2" t="s">
        <v>2172</v>
      </c>
      <c r="D410" s="2">
        <v>7200</v>
      </c>
    </row>
    <row r="411" spans="1:4" x14ac:dyDescent="0.3">
      <c r="A411" s="2">
        <v>410</v>
      </c>
      <c r="B411" s="2" t="s">
        <v>2173</v>
      </c>
      <c r="C411" s="2" t="s">
        <v>2174</v>
      </c>
      <c r="D411" s="2">
        <v>9000</v>
      </c>
    </row>
    <row r="412" spans="1:4" x14ac:dyDescent="0.3">
      <c r="A412" s="2">
        <v>411</v>
      </c>
      <c r="B412" s="2" t="s">
        <v>2175</v>
      </c>
      <c r="C412" s="2" t="s">
        <v>2176</v>
      </c>
      <c r="D412" s="2">
        <v>14000</v>
      </c>
    </row>
    <row r="413" spans="1:4" x14ac:dyDescent="0.3">
      <c r="A413" s="2">
        <v>412</v>
      </c>
      <c r="B413" s="2" t="s">
        <v>2177</v>
      </c>
      <c r="C413" s="2" t="s">
        <v>2178</v>
      </c>
      <c r="D413" s="2">
        <v>12600</v>
      </c>
    </row>
    <row r="414" spans="1:4" x14ac:dyDescent="0.3">
      <c r="A414" s="2">
        <v>413</v>
      </c>
      <c r="B414" s="2" t="s">
        <v>2179</v>
      </c>
      <c r="C414" s="2" t="s">
        <v>2180</v>
      </c>
      <c r="D414" s="2">
        <v>15500</v>
      </c>
    </row>
    <row r="415" spans="1:4" x14ac:dyDescent="0.3">
      <c r="A415" s="2">
        <v>414</v>
      </c>
      <c r="B415" s="2" t="s">
        <v>1112</v>
      </c>
      <c r="C415" s="2" t="s">
        <v>2181</v>
      </c>
      <c r="D415" s="2">
        <v>25000</v>
      </c>
    </row>
    <row r="416" spans="1:4" x14ac:dyDescent="0.3">
      <c r="A416" s="2">
        <v>415</v>
      </c>
      <c r="B416" s="2" t="s">
        <v>2182</v>
      </c>
      <c r="C416" s="2" t="s">
        <v>2183</v>
      </c>
      <c r="D416" s="2">
        <v>40000</v>
      </c>
    </row>
    <row r="417" spans="1:4" x14ac:dyDescent="0.3">
      <c r="A417" s="2">
        <v>416</v>
      </c>
      <c r="B417" s="2" t="s">
        <v>2184</v>
      </c>
      <c r="C417" s="2" t="s">
        <v>2185</v>
      </c>
      <c r="D417" s="2">
        <v>8000</v>
      </c>
    </row>
    <row r="418" spans="1:4" x14ac:dyDescent="0.3">
      <c r="A418" s="2">
        <v>417</v>
      </c>
      <c r="B418" s="2" t="s">
        <v>2186</v>
      </c>
      <c r="C418" s="2" t="s">
        <v>2187</v>
      </c>
      <c r="D418" s="2">
        <v>9000</v>
      </c>
    </row>
    <row r="419" spans="1:4" x14ac:dyDescent="0.3">
      <c r="A419" s="2">
        <v>418</v>
      </c>
      <c r="B419" s="2" t="s">
        <v>2188</v>
      </c>
      <c r="C419" s="2" t="s">
        <v>2189</v>
      </c>
      <c r="D419" s="2">
        <v>8000</v>
      </c>
    </row>
    <row r="420" spans="1:4" x14ac:dyDescent="0.3">
      <c r="A420" s="2">
        <v>419</v>
      </c>
      <c r="B420" s="2" t="s">
        <v>2190</v>
      </c>
      <c r="C420" s="2" t="s">
        <v>2191</v>
      </c>
      <c r="D420" s="2">
        <v>7200</v>
      </c>
    </row>
    <row r="421" spans="1:4" x14ac:dyDescent="0.3">
      <c r="A421" s="2">
        <v>420</v>
      </c>
      <c r="B421" s="2" t="s">
        <v>2192</v>
      </c>
      <c r="C421" s="2" t="s">
        <v>2193</v>
      </c>
      <c r="D421" s="2">
        <v>7000</v>
      </c>
    </row>
    <row r="422" spans="1:4" x14ac:dyDescent="0.3">
      <c r="A422" s="2">
        <v>421</v>
      </c>
      <c r="B422" s="2" t="s">
        <v>2194</v>
      </c>
      <c r="C422" s="2" t="s">
        <v>2195</v>
      </c>
      <c r="D422" s="2">
        <v>9000</v>
      </c>
    </row>
    <row r="423" spans="1:4" x14ac:dyDescent="0.3">
      <c r="A423" s="2">
        <v>422</v>
      </c>
      <c r="B423" s="2" t="s">
        <v>1426</v>
      </c>
      <c r="C423" s="2" t="s">
        <v>2196</v>
      </c>
      <c r="D423" s="2">
        <v>9000</v>
      </c>
    </row>
    <row r="424" spans="1:4" x14ac:dyDescent="0.3">
      <c r="A424" s="2">
        <v>423</v>
      </c>
      <c r="B424" s="2" t="s">
        <v>1130</v>
      </c>
      <c r="C424" s="2" t="s">
        <v>2197</v>
      </c>
      <c r="D424" s="2">
        <v>5300</v>
      </c>
    </row>
    <row r="425" spans="1:4" x14ac:dyDescent="0.3">
      <c r="A425" s="2">
        <v>424</v>
      </c>
      <c r="B425" s="2" t="s">
        <v>2198</v>
      </c>
      <c r="C425" s="2" t="s">
        <v>2199</v>
      </c>
      <c r="D425" s="2">
        <v>12000</v>
      </c>
    </row>
    <row r="426" spans="1:4" x14ac:dyDescent="0.3">
      <c r="A426" s="2">
        <v>425</v>
      </c>
      <c r="B426" s="2" t="s">
        <v>2200</v>
      </c>
      <c r="C426" s="2" t="s">
        <v>2201</v>
      </c>
      <c r="D426" s="2">
        <v>11000</v>
      </c>
    </row>
    <row r="427" spans="1:4" x14ac:dyDescent="0.3">
      <c r="A427" s="2">
        <v>426</v>
      </c>
      <c r="B427" s="2" t="s">
        <v>2202</v>
      </c>
      <c r="C427" s="2" t="s">
        <v>2203</v>
      </c>
      <c r="D427" s="2">
        <v>28500</v>
      </c>
    </row>
    <row r="428" spans="1:4" x14ac:dyDescent="0.3">
      <c r="A428" s="2">
        <v>427</v>
      </c>
      <c r="B428" s="2" t="s">
        <v>1148</v>
      </c>
      <c r="C428" s="2" t="s">
        <v>2204</v>
      </c>
      <c r="D428" s="2">
        <v>38000</v>
      </c>
    </row>
    <row r="429" spans="1:4" x14ac:dyDescent="0.3">
      <c r="A429" s="2">
        <v>428</v>
      </c>
      <c r="B429" s="2" t="s">
        <v>2205</v>
      </c>
      <c r="C429" s="2" t="s">
        <v>2206</v>
      </c>
      <c r="D429" s="2">
        <v>14000</v>
      </c>
    </row>
    <row r="430" spans="1:4" x14ac:dyDescent="0.3">
      <c r="A430" s="2">
        <v>429</v>
      </c>
      <c r="B430" s="2" t="s">
        <v>2207</v>
      </c>
      <c r="C430" s="2" t="s">
        <v>2208</v>
      </c>
      <c r="D430" s="2">
        <v>5000</v>
      </c>
    </row>
    <row r="431" spans="1:4" x14ac:dyDescent="0.3">
      <c r="A431" s="2">
        <v>430</v>
      </c>
      <c r="B431" s="2" t="s">
        <v>2209</v>
      </c>
      <c r="C431" s="2" t="s">
        <v>2210</v>
      </c>
      <c r="D431" s="2">
        <v>4000</v>
      </c>
    </row>
    <row r="432" spans="1:4" x14ac:dyDescent="0.3">
      <c r="A432" s="2">
        <v>431</v>
      </c>
      <c r="B432" s="2" t="s">
        <v>2211</v>
      </c>
      <c r="C432" s="2" t="s">
        <v>2212</v>
      </c>
      <c r="D432" s="2">
        <v>4000</v>
      </c>
    </row>
    <row r="433" spans="1:4" x14ac:dyDescent="0.3">
      <c r="A433" s="2">
        <v>432</v>
      </c>
      <c r="B433" s="2" t="s">
        <v>2213</v>
      </c>
      <c r="C433" s="2" t="s">
        <v>2214</v>
      </c>
      <c r="D433" s="2">
        <v>11700</v>
      </c>
    </row>
    <row r="434" spans="1:4" x14ac:dyDescent="0.3">
      <c r="A434" s="2">
        <v>433</v>
      </c>
      <c r="B434" s="2" t="s">
        <v>2215</v>
      </c>
      <c r="C434" s="2" t="s">
        <v>2216</v>
      </c>
      <c r="D434" s="2">
        <v>13500</v>
      </c>
    </row>
    <row r="435" spans="1:4" x14ac:dyDescent="0.3">
      <c r="A435" s="2">
        <v>434</v>
      </c>
      <c r="B435" s="2" t="s">
        <v>2217</v>
      </c>
      <c r="C435" s="2" t="s">
        <v>2218</v>
      </c>
      <c r="D435" s="2">
        <v>5000</v>
      </c>
    </row>
    <row r="436" spans="1:4" x14ac:dyDescent="0.3">
      <c r="A436" s="2">
        <v>435</v>
      </c>
      <c r="B436" s="2" t="s">
        <v>2219</v>
      </c>
      <c r="C436" s="2" t="s">
        <v>2220</v>
      </c>
      <c r="D436" s="2">
        <v>5000</v>
      </c>
    </row>
    <row r="437" spans="1:4" x14ac:dyDescent="0.3">
      <c r="A437" s="2">
        <v>436</v>
      </c>
      <c r="B437" s="2" t="s">
        <v>1157</v>
      </c>
      <c r="C437" s="2" t="s">
        <v>2221</v>
      </c>
      <c r="D437" s="2">
        <v>5000</v>
      </c>
    </row>
    <row r="438" spans="1:4" x14ac:dyDescent="0.3">
      <c r="A438" s="2">
        <v>437</v>
      </c>
      <c r="B438" s="2" t="s">
        <v>2222</v>
      </c>
      <c r="C438" s="2" t="s">
        <v>2223</v>
      </c>
      <c r="D438" s="2">
        <v>5000</v>
      </c>
    </row>
    <row r="439" spans="1:4" x14ac:dyDescent="0.3">
      <c r="A439" s="2">
        <v>438</v>
      </c>
      <c r="B439" s="2" t="s">
        <v>2224</v>
      </c>
      <c r="C439" s="2" t="s">
        <v>2225</v>
      </c>
      <c r="D439" s="2">
        <v>5000</v>
      </c>
    </row>
    <row r="440" spans="1:4" x14ac:dyDescent="0.3">
      <c r="A440" s="2">
        <v>439</v>
      </c>
      <c r="B440" s="2" t="s">
        <v>1160</v>
      </c>
      <c r="C440" s="2" t="s">
        <v>2226</v>
      </c>
      <c r="D440" s="2">
        <v>5500</v>
      </c>
    </row>
    <row r="441" spans="1:4" x14ac:dyDescent="0.3">
      <c r="A441" s="2">
        <v>440</v>
      </c>
      <c r="B441" s="2" t="s">
        <v>1169</v>
      </c>
      <c r="C441" s="2" t="s">
        <v>2227</v>
      </c>
      <c r="D441" s="2">
        <v>5300</v>
      </c>
    </row>
    <row r="442" spans="1:4" x14ac:dyDescent="0.3">
      <c r="A442" s="2">
        <v>441</v>
      </c>
      <c r="B442" s="2" t="s">
        <v>2228</v>
      </c>
      <c r="C442" s="2" t="s">
        <v>2229</v>
      </c>
      <c r="D442" s="2">
        <v>8000</v>
      </c>
    </row>
    <row r="443" spans="1:4" x14ac:dyDescent="0.3">
      <c r="A443" s="2">
        <v>442</v>
      </c>
      <c r="B443" s="2" t="s">
        <v>2230</v>
      </c>
      <c r="C443" s="2" t="s">
        <v>2231</v>
      </c>
      <c r="D443" s="2">
        <v>9000</v>
      </c>
    </row>
    <row r="444" spans="1:4" x14ac:dyDescent="0.3">
      <c r="A444" s="2">
        <v>443</v>
      </c>
      <c r="B444" s="2" t="s">
        <v>2232</v>
      </c>
      <c r="C444" s="2" t="s">
        <v>2233</v>
      </c>
      <c r="D444" s="2">
        <v>20000</v>
      </c>
    </row>
    <row r="445" spans="1:4" x14ac:dyDescent="0.3">
      <c r="A445" s="2">
        <v>444</v>
      </c>
      <c r="B445" s="2" t="s">
        <v>2234</v>
      </c>
      <c r="C445" s="2" t="s">
        <v>2235</v>
      </c>
      <c r="D445" s="2">
        <v>24000</v>
      </c>
    </row>
    <row r="446" spans="1:4" x14ac:dyDescent="0.3">
      <c r="A446" s="2">
        <v>445</v>
      </c>
      <c r="B446" s="2" t="s">
        <v>1175</v>
      </c>
      <c r="C446" s="2" t="s">
        <v>2236</v>
      </c>
      <c r="D446" s="2">
        <v>2400</v>
      </c>
    </row>
    <row r="447" spans="1:4" x14ac:dyDescent="0.3">
      <c r="A447" s="2">
        <v>446</v>
      </c>
      <c r="B447" s="2" t="s">
        <v>2237</v>
      </c>
      <c r="C447" s="2" t="s">
        <v>2238</v>
      </c>
      <c r="D447" s="2">
        <v>10000</v>
      </c>
    </row>
    <row r="448" spans="1:4" x14ac:dyDescent="0.3">
      <c r="A448" s="2">
        <v>447</v>
      </c>
      <c r="B448" s="2" t="s">
        <v>2239</v>
      </c>
      <c r="C448" s="2" t="s">
        <v>2240</v>
      </c>
      <c r="D448" s="2">
        <v>8000</v>
      </c>
    </row>
    <row r="449" spans="1:4" x14ac:dyDescent="0.3">
      <c r="A449" s="2">
        <v>448</v>
      </c>
      <c r="B449" s="2" t="s">
        <v>2241</v>
      </c>
      <c r="C449" s="2" t="s">
        <v>2242</v>
      </c>
      <c r="D449" s="2">
        <v>32300</v>
      </c>
    </row>
    <row r="450" spans="1:4" x14ac:dyDescent="0.3">
      <c r="A450" s="2">
        <v>449</v>
      </c>
      <c r="B450" s="2" t="s">
        <v>2243</v>
      </c>
      <c r="C450" s="2" t="s">
        <v>2244</v>
      </c>
      <c r="D450" s="2">
        <v>35150</v>
      </c>
    </row>
    <row r="451" spans="1:4" x14ac:dyDescent="0.3">
      <c r="A451" s="2">
        <v>450</v>
      </c>
      <c r="B451" s="2" t="s">
        <v>2245</v>
      </c>
      <c r="C451" s="2" t="s">
        <v>2246</v>
      </c>
      <c r="D451" s="2">
        <v>22800</v>
      </c>
    </row>
    <row r="452" spans="1:4" x14ac:dyDescent="0.3">
      <c r="A452" s="2">
        <v>451</v>
      </c>
      <c r="B452" s="2" t="s">
        <v>2247</v>
      </c>
      <c r="C452" s="2" t="s">
        <v>2248</v>
      </c>
      <c r="D452" s="2">
        <v>16600</v>
      </c>
    </row>
    <row r="453" spans="1:4" x14ac:dyDescent="0.3">
      <c r="A453" s="2">
        <v>452</v>
      </c>
      <c r="B453" s="2" t="s">
        <v>2249</v>
      </c>
      <c r="C453" s="2" t="s">
        <v>2250</v>
      </c>
      <c r="D453" s="2">
        <v>17000</v>
      </c>
    </row>
    <row r="454" spans="1:4" x14ac:dyDescent="0.3">
      <c r="A454" s="2">
        <v>453</v>
      </c>
      <c r="B454" s="2" t="s">
        <v>2251</v>
      </c>
      <c r="C454" s="2" t="s">
        <v>2252</v>
      </c>
      <c r="D454" s="2">
        <v>4000</v>
      </c>
    </row>
    <row r="455" spans="1:4" x14ac:dyDescent="0.3">
      <c r="A455" s="2">
        <v>454</v>
      </c>
      <c r="B455" s="2" t="s">
        <v>2253</v>
      </c>
      <c r="C455" s="2" t="s">
        <v>2254</v>
      </c>
      <c r="D455" s="2">
        <v>5000</v>
      </c>
    </row>
    <row r="456" spans="1:4" x14ac:dyDescent="0.3">
      <c r="A456" s="2">
        <v>455</v>
      </c>
      <c r="B456" s="2" t="s">
        <v>2255</v>
      </c>
      <c r="C456" s="2" t="s">
        <v>2256</v>
      </c>
      <c r="D456" s="2">
        <v>5000</v>
      </c>
    </row>
    <row r="457" spans="1:4" x14ac:dyDescent="0.3">
      <c r="A457" s="2">
        <v>456</v>
      </c>
      <c r="B457" s="2" t="s">
        <v>2257</v>
      </c>
      <c r="C457" s="2" t="s">
        <v>2258</v>
      </c>
      <c r="D457" s="2">
        <v>16600</v>
      </c>
    </row>
    <row r="458" spans="1:4" x14ac:dyDescent="0.3">
      <c r="A458" s="2">
        <v>457</v>
      </c>
      <c r="B458" s="2" t="s">
        <v>2259</v>
      </c>
      <c r="C458" s="2" t="s">
        <v>2260</v>
      </c>
      <c r="D458" s="2">
        <v>20000</v>
      </c>
    </row>
    <row r="459" spans="1:4" x14ac:dyDescent="0.3">
      <c r="A459" s="2">
        <v>458</v>
      </c>
      <c r="B459" s="2" t="s">
        <v>1435</v>
      </c>
      <c r="C459" s="2" t="s">
        <v>2261</v>
      </c>
      <c r="D459" s="2">
        <v>12600</v>
      </c>
    </row>
    <row r="460" spans="1:4" x14ac:dyDescent="0.3">
      <c r="A460" s="2">
        <v>459</v>
      </c>
      <c r="B460" s="2" t="s">
        <v>1431</v>
      </c>
      <c r="C460" s="2" t="s">
        <v>2262</v>
      </c>
      <c r="D460" s="2">
        <v>14000</v>
      </c>
    </row>
    <row r="461" spans="1:4" x14ac:dyDescent="0.3">
      <c r="A461" s="2">
        <v>460</v>
      </c>
      <c r="B461" s="2" t="s">
        <v>2263</v>
      </c>
      <c r="C461" s="2" t="s">
        <v>2264</v>
      </c>
      <c r="D461" s="2">
        <v>11000</v>
      </c>
    </row>
    <row r="462" spans="1:4" x14ac:dyDescent="0.3">
      <c r="A462" s="2">
        <v>461</v>
      </c>
      <c r="B462" s="2" t="s">
        <v>2265</v>
      </c>
      <c r="C462" s="2" t="s">
        <v>2266</v>
      </c>
      <c r="D462" s="2">
        <v>5200</v>
      </c>
    </row>
    <row r="463" spans="1:4" x14ac:dyDescent="0.3">
      <c r="A463" s="2">
        <v>462</v>
      </c>
      <c r="B463" s="2" t="s">
        <v>2267</v>
      </c>
      <c r="C463" s="2" t="s">
        <v>2268</v>
      </c>
      <c r="D463" s="2">
        <v>10000</v>
      </c>
    </row>
    <row r="464" spans="1:4" x14ac:dyDescent="0.3">
      <c r="A464" s="2">
        <v>463</v>
      </c>
      <c r="B464" s="2" t="s">
        <v>1422</v>
      </c>
      <c r="C464" s="2" t="s">
        <v>2269</v>
      </c>
      <c r="D464" s="2">
        <v>5500</v>
      </c>
    </row>
    <row r="465" spans="1:4" x14ac:dyDescent="0.3">
      <c r="A465" s="2">
        <v>464</v>
      </c>
      <c r="B465" s="2" t="s">
        <v>1214</v>
      </c>
      <c r="C465" s="2" t="s">
        <v>2270</v>
      </c>
      <c r="D465" s="2">
        <v>5000</v>
      </c>
    </row>
    <row r="466" spans="1:4" x14ac:dyDescent="0.3">
      <c r="A466" s="2">
        <v>465</v>
      </c>
      <c r="B466" s="2" t="s">
        <v>2271</v>
      </c>
      <c r="C466" s="2" t="s">
        <v>2272</v>
      </c>
      <c r="D466" s="2">
        <v>5300</v>
      </c>
    </row>
    <row r="467" spans="1:4" x14ac:dyDescent="0.3">
      <c r="A467" s="2">
        <v>466</v>
      </c>
      <c r="B467" s="2" t="s">
        <v>2273</v>
      </c>
      <c r="C467" s="2" t="s">
        <v>2274</v>
      </c>
      <c r="D467" s="2">
        <v>11000</v>
      </c>
    </row>
    <row r="468" spans="1:4" x14ac:dyDescent="0.3">
      <c r="A468" s="2">
        <v>467</v>
      </c>
      <c r="B468" s="2" t="s">
        <v>2275</v>
      </c>
      <c r="C468" s="2" t="s">
        <v>2276</v>
      </c>
      <c r="D468" s="2">
        <v>11000</v>
      </c>
    </row>
    <row r="469" spans="1:4" x14ac:dyDescent="0.3">
      <c r="A469" s="2">
        <v>468</v>
      </c>
      <c r="B469" s="2" t="s">
        <v>2277</v>
      </c>
      <c r="C469" s="2" t="s">
        <v>2278</v>
      </c>
      <c r="D469" s="2">
        <v>11000</v>
      </c>
    </row>
    <row r="470" spans="1:4" x14ac:dyDescent="0.3">
      <c r="A470" s="2">
        <v>469</v>
      </c>
      <c r="B470" s="2" t="s">
        <v>2279</v>
      </c>
      <c r="C470" s="2" t="s">
        <v>2280</v>
      </c>
      <c r="D470" s="2">
        <v>7000</v>
      </c>
    </row>
    <row r="471" spans="1:4" x14ac:dyDescent="0.3">
      <c r="A471" s="2">
        <v>470</v>
      </c>
      <c r="B471" s="2" t="s">
        <v>2281</v>
      </c>
      <c r="C471" s="2" t="s">
        <v>2282</v>
      </c>
      <c r="D471" s="2">
        <v>6200</v>
      </c>
    </row>
    <row r="472" spans="1:4" x14ac:dyDescent="0.3">
      <c r="A472" s="2">
        <v>471</v>
      </c>
      <c r="B472" s="2" t="s">
        <v>2283</v>
      </c>
      <c r="C472" s="2" t="s">
        <v>2284</v>
      </c>
      <c r="D472" s="2">
        <v>4000</v>
      </c>
    </row>
    <row r="473" spans="1:4" x14ac:dyDescent="0.3">
      <c r="A473" s="2">
        <v>472</v>
      </c>
      <c r="B473" s="2" t="s">
        <v>2285</v>
      </c>
      <c r="C473" s="2" t="s">
        <v>2286</v>
      </c>
      <c r="D473" s="2">
        <v>18000</v>
      </c>
    </row>
    <row r="474" spans="1:4" x14ac:dyDescent="0.3">
      <c r="A474" s="2">
        <v>473</v>
      </c>
      <c r="B474" s="2" t="s">
        <v>2287</v>
      </c>
      <c r="C474" s="2" t="s">
        <v>2288</v>
      </c>
      <c r="D474" s="2">
        <v>8500</v>
      </c>
    </row>
    <row r="475" spans="1:4" x14ac:dyDescent="0.3">
      <c r="A475" s="2">
        <v>474</v>
      </c>
      <c r="B475" s="2" t="s">
        <v>2289</v>
      </c>
      <c r="C475" s="2" t="s">
        <v>2290</v>
      </c>
      <c r="D475" s="2">
        <v>8000</v>
      </c>
    </row>
    <row r="476" spans="1:4" x14ac:dyDescent="0.3">
      <c r="A476" s="2">
        <v>475</v>
      </c>
      <c r="B476" s="2" t="s">
        <v>1436</v>
      </c>
      <c r="C476" s="2" t="s">
        <v>2291</v>
      </c>
      <c r="D476" s="2">
        <v>9000</v>
      </c>
    </row>
    <row r="477" spans="1:4" x14ac:dyDescent="0.3">
      <c r="A477" s="2">
        <v>476</v>
      </c>
      <c r="B477" s="2" t="s">
        <v>2292</v>
      </c>
      <c r="C477" s="2" t="s">
        <v>2293</v>
      </c>
      <c r="D477" s="2">
        <v>17000</v>
      </c>
    </row>
    <row r="478" spans="1:4" x14ac:dyDescent="0.3">
      <c r="A478" s="2">
        <v>477</v>
      </c>
      <c r="B478" s="2" t="s">
        <v>2294</v>
      </c>
      <c r="C478" s="2" t="s">
        <v>2295</v>
      </c>
      <c r="D478" s="2">
        <v>29000</v>
      </c>
    </row>
    <row r="479" spans="1:4" x14ac:dyDescent="0.3">
      <c r="A479" s="2">
        <v>478</v>
      </c>
      <c r="B479" s="2" t="s">
        <v>1238</v>
      </c>
      <c r="C479" s="2" t="s">
        <v>2296</v>
      </c>
      <c r="D479" s="2">
        <v>38000</v>
      </c>
    </row>
    <row r="480" spans="1:4" x14ac:dyDescent="0.3">
      <c r="A480" s="2">
        <v>479</v>
      </c>
      <c r="B480" s="2" t="s">
        <v>1235</v>
      </c>
      <c r="C480" s="2" t="s">
        <v>2297</v>
      </c>
      <c r="D480" s="2">
        <v>20000</v>
      </c>
    </row>
    <row r="481" spans="1:4" x14ac:dyDescent="0.3">
      <c r="A481" s="2">
        <v>480</v>
      </c>
      <c r="B481" s="2" t="s">
        <v>2298</v>
      </c>
      <c r="C481" s="2" t="s">
        <v>2299</v>
      </c>
      <c r="D481" s="2">
        <v>9000</v>
      </c>
    </row>
    <row r="482" spans="1:4" x14ac:dyDescent="0.3">
      <c r="A482" s="2">
        <v>481</v>
      </c>
      <c r="B482" s="2" t="s">
        <v>2300</v>
      </c>
      <c r="C482" s="2" t="s">
        <v>2301</v>
      </c>
      <c r="D482" s="2">
        <v>6500</v>
      </c>
    </row>
    <row r="483" spans="1:4" x14ac:dyDescent="0.3">
      <c r="A483" s="2">
        <v>482</v>
      </c>
      <c r="B483" s="2" t="s">
        <v>2302</v>
      </c>
      <c r="C483" s="2" t="s">
        <v>2303</v>
      </c>
      <c r="D483" s="2">
        <v>9800</v>
      </c>
    </row>
    <row r="484" spans="1:4" x14ac:dyDescent="0.3">
      <c r="A484" s="2">
        <v>483</v>
      </c>
      <c r="B484" s="2" t="s">
        <v>2304</v>
      </c>
      <c r="C484" s="2" t="s">
        <v>2305</v>
      </c>
      <c r="D484" s="2">
        <v>7800</v>
      </c>
    </row>
    <row r="485" spans="1:4" x14ac:dyDescent="0.3">
      <c r="A485" s="2">
        <v>484</v>
      </c>
      <c r="B485" s="2" t="s">
        <v>2306</v>
      </c>
      <c r="C485" s="2" t="s">
        <v>2307</v>
      </c>
      <c r="D485" s="2">
        <v>8000</v>
      </c>
    </row>
    <row r="486" spans="1:4" x14ac:dyDescent="0.3">
      <c r="A486" s="2">
        <v>485</v>
      </c>
      <c r="B486" s="2" t="s">
        <v>2308</v>
      </c>
      <c r="C486" s="2" t="s">
        <v>2309</v>
      </c>
      <c r="D486" s="2">
        <v>19000</v>
      </c>
    </row>
    <row r="487" spans="1:4" x14ac:dyDescent="0.3">
      <c r="A487" s="2">
        <v>486</v>
      </c>
      <c r="B487" s="2" t="s">
        <v>2310</v>
      </c>
      <c r="C487" s="2" t="s">
        <v>2311</v>
      </c>
      <c r="D487" s="2">
        <v>19000</v>
      </c>
    </row>
    <row r="488" spans="1:4" x14ac:dyDescent="0.3">
      <c r="A488" s="2">
        <v>487</v>
      </c>
      <c r="B488" s="2" t="s">
        <v>2312</v>
      </c>
      <c r="C488" s="2" t="s">
        <v>2313</v>
      </c>
      <c r="D488" s="2">
        <v>8000</v>
      </c>
    </row>
    <row r="489" spans="1:4" x14ac:dyDescent="0.3">
      <c r="A489" s="2">
        <v>488</v>
      </c>
      <c r="B489" s="2" t="s">
        <v>2314</v>
      </c>
      <c r="C489" s="2" t="s">
        <v>2315</v>
      </c>
      <c r="D489" s="2">
        <v>5000</v>
      </c>
    </row>
    <row r="490" spans="1:4" x14ac:dyDescent="0.3">
      <c r="A490" s="2">
        <v>489</v>
      </c>
      <c r="B490" s="2" t="s">
        <v>2316</v>
      </c>
      <c r="C490" s="2" t="s">
        <v>2317</v>
      </c>
      <c r="D490" s="2">
        <v>4500</v>
      </c>
    </row>
    <row r="491" spans="1:4" x14ac:dyDescent="0.3">
      <c r="A491" s="2">
        <v>490</v>
      </c>
      <c r="B491" s="2" t="s">
        <v>2318</v>
      </c>
      <c r="C491" s="2" t="s">
        <v>2319</v>
      </c>
      <c r="D491" s="2">
        <v>5000</v>
      </c>
    </row>
    <row r="492" spans="1:4" x14ac:dyDescent="0.3">
      <c r="A492" s="2">
        <v>491</v>
      </c>
      <c r="B492" s="2" t="s">
        <v>2320</v>
      </c>
      <c r="C492" s="2" t="s">
        <v>2321</v>
      </c>
      <c r="D492" s="2">
        <v>5000</v>
      </c>
    </row>
    <row r="493" spans="1:4" x14ac:dyDescent="0.3">
      <c r="A493" s="2">
        <v>492</v>
      </c>
      <c r="B493" s="2" t="s">
        <v>2322</v>
      </c>
      <c r="C493" s="2" t="s">
        <v>2323</v>
      </c>
      <c r="D493" s="2">
        <v>5000</v>
      </c>
    </row>
    <row r="494" spans="1:4" x14ac:dyDescent="0.3">
      <c r="A494" s="2">
        <v>493</v>
      </c>
      <c r="B494" s="2" t="s">
        <v>2324</v>
      </c>
      <c r="C494" s="2" t="s">
        <v>2325</v>
      </c>
      <c r="D494" s="2">
        <v>28000</v>
      </c>
    </row>
    <row r="495" spans="1:4" x14ac:dyDescent="0.3">
      <c r="A495" s="2">
        <v>494</v>
      </c>
      <c r="B495" s="2" t="s">
        <v>2326</v>
      </c>
      <c r="C495" s="2" t="s">
        <v>2327</v>
      </c>
      <c r="D495" s="2">
        <v>36000</v>
      </c>
    </row>
    <row r="496" spans="1:4" x14ac:dyDescent="0.3">
      <c r="A496" s="2">
        <v>495</v>
      </c>
      <c r="B496" s="2" t="s">
        <v>2328</v>
      </c>
      <c r="C496" s="2" t="s">
        <v>2329</v>
      </c>
      <c r="D496" s="2">
        <v>23000</v>
      </c>
    </row>
    <row r="497" spans="1:4" x14ac:dyDescent="0.3">
      <c r="A497" s="2">
        <v>496</v>
      </c>
      <c r="B497" s="2" t="s">
        <v>2330</v>
      </c>
      <c r="C497" s="2" t="s">
        <v>2331</v>
      </c>
      <c r="D497" s="2">
        <v>15500</v>
      </c>
    </row>
    <row r="498" spans="1:4" x14ac:dyDescent="0.3">
      <c r="A498" s="2">
        <v>497</v>
      </c>
      <c r="B498" s="2" t="s">
        <v>2332</v>
      </c>
      <c r="C498" s="2" t="s">
        <v>2333</v>
      </c>
      <c r="D498" s="2">
        <v>15000</v>
      </c>
    </row>
    <row r="499" spans="1:4" x14ac:dyDescent="0.3">
      <c r="A499" s="2">
        <v>498</v>
      </c>
      <c r="B499" s="2" t="s">
        <v>2334</v>
      </c>
      <c r="C499" s="2" t="s">
        <v>2335</v>
      </c>
      <c r="D499" s="2">
        <v>15500</v>
      </c>
    </row>
    <row r="500" spans="1:4" x14ac:dyDescent="0.3">
      <c r="A500" s="2">
        <v>499</v>
      </c>
      <c r="B500" s="2" t="s">
        <v>2336</v>
      </c>
      <c r="C500" s="2" t="s">
        <v>2337</v>
      </c>
      <c r="D500" s="2">
        <v>15500</v>
      </c>
    </row>
    <row r="501" spans="1:4" x14ac:dyDescent="0.3">
      <c r="A501" s="2">
        <v>500</v>
      </c>
      <c r="B501" s="2" t="s">
        <v>2338</v>
      </c>
      <c r="C501" s="2" t="s">
        <v>2339</v>
      </c>
      <c r="D501" s="2">
        <v>16000</v>
      </c>
    </row>
    <row r="502" spans="1:4" x14ac:dyDescent="0.3">
      <c r="A502" s="2">
        <v>501</v>
      </c>
      <c r="B502" s="2" t="s">
        <v>1277</v>
      </c>
      <c r="C502" s="2" t="s">
        <v>2340</v>
      </c>
      <c r="D502" s="2">
        <v>14400</v>
      </c>
    </row>
    <row r="503" spans="1:4" x14ac:dyDescent="0.3">
      <c r="A503" s="2">
        <v>502</v>
      </c>
      <c r="B503" s="2" t="s">
        <v>2341</v>
      </c>
      <c r="C503" s="2" t="s">
        <v>2342</v>
      </c>
      <c r="D503" s="2">
        <v>14000</v>
      </c>
    </row>
    <row r="504" spans="1:4" x14ac:dyDescent="0.3">
      <c r="A504" s="2">
        <v>503</v>
      </c>
      <c r="B504" s="2" t="s">
        <v>2343</v>
      </c>
      <c r="C504" s="2" t="s">
        <v>2344</v>
      </c>
      <c r="D504" s="2">
        <v>9500</v>
      </c>
    </row>
    <row r="505" spans="1:4" x14ac:dyDescent="0.3">
      <c r="A505" s="2">
        <v>504</v>
      </c>
      <c r="B505" s="2" t="s">
        <v>2345</v>
      </c>
      <c r="C505" s="2" t="s">
        <v>2346</v>
      </c>
      <c r="D505" s="2">
        <v>16600</v>
      </c>
    </row>
    <row r="506" spans="1:4" x14ac:dyDescent="0.3">
      <c r="A506" s="2">
        <v>505</v>
      </c>
      <c r="B506" s="2" t="s">
        <v>2347</v>
      </c>
      <c r="C506" s="2" t="s">
        <v>2348</v>
      </c>
      <c r="D506" s="2">
        <v>16600</v>
      </c>
    </row>
    <row r="507" spans="1:4" x14ac:dyDescent="0.3">
      <c r="A507" s="2">
        <v>506</v>
      </c>
      <c r="B507" s="2" t="s">
        <v>2349</v>
      </c>
      <c r="C507" s="2" t="s">
        <v>2350</v>
      </c>
      <c r="D507" s="2">
        <v>15500</v>
      </c>
    </row>
    <row r="508" spans="1:4" x14ac:dyDescent="0.3">
      <c r="A508" s="2">
        <v>507</v>
      </c>
      <c r="B508" s="2" t="s">
        <v>2351</v>
      </c>
      <c r="C508" s="2" t="s">
        <v>2352</v>
      </c>
      <c r="D508" s="2">
        <v>7000</v>
      </c>
    </row>
    <row r="509" spans="1:4" x14ac:dyDescent="0.3">
      <c r="A509" s="2">
        <v>508</v>
      </c>
      <c r="B509" s="2" t="s">
        <v>2353</v>
      </c>
      <c r="C509" s="2" t="s">
        <v>2354</v>
      </c>
      <c r="D509" s="2">
        <v>15300</v>
      </c>
    </row>
    <row r="510" spans="1:4" x14ac:dyDescent="0.3">
      <c r="A510" s="2">
        <v>509</v>
      </c>
      <c r="B510" s="2" t="s">
        <v>1292</v>
      </c>
      <c r="C510" s="2" t="s">
        <v>2355</v>
      </c>
      <c r="D510" s="2">
        <v>15000</v>
      </c>
    </row>
    <row r="511" spans="1:4" x14ac:dyDescent="0.3">
      <c r="A511" s="2">
        <v>510</v>
      </c>
      <c r="B511" s="2" t="s">
        <v>2356</v>
      </c>
      <c r="C511" s="2" t="s">
        <v>2357</v>
      </c>
      <c r="D511" s="2">
        <v>9800</v>
      </c>
    </row>
    <row r="512" spans="1:4" x14ac:dyDescent="0.3">
      <c r="A512" s="2">
        <v>511</v>
      </c>
      <c r="B512" s="2" t="s">
        <v>1295</v>
      </c>
      <c r="C512" s="2" t="s">
        <v>2358</v>
      </c>
      <c r="D512" s="2">
        <v>16000</v>
      </c>
    </row>
    <row r="513" spans="1:4" x14ac:dyDescent="0.3">
      <c r="A513" s="2">
        <v>512</v>
      </c>
      <c r="B513" s="2" t="s">
        <v>2359</v>
      </c>
      <c r="C513" s="2" t="s">
        <v>2360</v>
      </c>
      <c r="D513" s="2">
        <v>5200</v>
      </c>
    </row>
    <row r="514" spans="1:4" x14ac:dyDescent="0.3">
      <c r="A514" s="2">
        <v>513</v>
      </c>
      <c r="B514" s="2" t="s">
        <v>2361</v>
      </c>
      <c r="C514" s="2" t="s">
        <v>2362</v>
      </c>
      <c r="D514" s="2">
        <v>5500</v>
      </c>
    </row>
    <row r="515" spans="1:4" x14ac:dyDescent="0.3">
      <c r="A515" s="2">
        <v>514</v>
      </c>
      <c r="B515" s="2" t="s">
        <v>1310</v>
      </c>
      <c r="C515" s="2" t="s">
        <v>2363</v>
      </c>
      <c r="D515" s="2">
        <v>4500</v>
      </c>
    </row>
    <row r="516" spans="1:4" x14ac:dyDescent="0.3">
      <c r="A516" s="2">
        <v>515</v>
      </c>
      <c r="B516" s="2" t="s">
        <v>2364</v>
      </c>
      <c r="C516" s="2" t="s">
        <v>2365</v>
      </c>
      <c r="D516" s="2">
        <v>4500</v>
      </c>
    </row>
    <row r="517" spans="1:4" x14ac:dyDescent="0.3">
      <c r="A517" s="2">
        <v>516</v>
      </c>
      <c r="B517" s="2" t="s">
        <v>2366</v>
      </c>
      <c r="C517" s="2" t="s">
        <v>2367</v>
      </c>
      <c r="D517" s="2">
        <v>5200</v>
      </c>
    </row>
    <row r="518" spans="1:4" x14ac:dyDescent="0.3">
      <c r="A518" s="2">
        <v>517</v>
      </c>
      <c r="B518" s="2" t="s">
        <v>2368</v>
      </c>
      <c r="C518" s="2" t="s">
        <v>2369</v>
      </c>
      <c r="D518" s="2">
        <v>5200</v>
      </c>
    </row>
    <row r="519" spans="1:4" x14ac:dyDescent="0.3">
      <c r="A519" s="2">
        <v>518</v>
      </c>
      <c r="B519" s="2" t="s">
        <v>1307</v>
      </c>
      <c r="C519" s="2" t="s">
        <v>2370</v>
      </c>
      <c r="D519" s="2">
        <v>12000</v>
      </c>
    </row>
    <row r="520" spans="1:4" x14ac:dyDescent="0.3">
      <c r="A520" s="2">
        <v>519</v>
      </c>
      <c r="B520" s="2" t="s">
        <v>2371</v>
      </c>
      <c r="C520" s="2" t="s">
        <v>2372</v>
      </c>
      <c r="D520" s="2">
        <v>16000</v>
      </c>
    </row>
    <row r="521" spans="1:4" x14ac:dyDescent="0.3">
      <c r="A521" s="2">
        <v>520</v>
      </c>
      <c r="B521" s="2" t="s">
        <v>1319</v>
      </c>
      <c r="C521" s="2" t="s">
        <v>2373</v>
      </c>
      <c r="D521" s="2">
        <v>16500</v>
      </c>
    </row>
    <row r="522" spans="1:4" x14ac:dyDescent="0.3">
      <c r="A522" s="2">
        <v>521</v>
      </c>
      <c r="B522" s="2" t="s">
        <v>2374</v>
      </c>
      <c r="C522" s="2" t="s">
        <v>2375</v>
      </c>
      <c r="D522" s="2">
        <v>12600</v>
      </c>
    </row>
    <row r="523" spans="1:4" x14ac:dyDescent="0.3">
      <c r="A523" s="2">
        <v>522</v>
      </c>
      <c r="B523" s="2" t="s">
        <v>1322</v>
      </c>
      <c r="C523" s="2" t="s">
        <v>2376</v>
      </c>
      <c r="D523" s="2">
        <v>15000</v>
      </c>
    </row>
    <row r="524" spans="1:4" x14ac:dyDescent="0.3">
      <c r="A524" s="2">
        <v>523</v>
      </c>
      <c r="B524" s="2" t="s">
        <v>2377</v>
      </c>
      <c r="C524" s="2" t="s">
        <v>2378</v>
      </c>
      <c r="D524" s="2">
        <v>16600</v>
      </c>
    </row>
    <row r="525" spans="1:4" x14ac:dyDescent="0.3">
      <c r="A525" s="2">
        <v>524</v>
      </c>
      <c r="B525" s="2" t="s">
        <v>2379</v>
      </c>
      <c r="C525" s="2" t="s">
        <v>2380</v>
      </c>
      <c r="D525" s="2">
        <v>16600</v>
      </c>
    </row>
    <row r="526" spans="1:4" x14ac:dyDescent="0.3">
      <c r="A526" s="2">
        <v>525</v>
      </c>
      <c r="B526" s="2" t="s">
        <v>2381</v>
      </c>
      <c r="C526" s="2" t="s">
        <v>2382</v>
      </c>
      <c r="D526" s="2">
        <v>7000</v>
      </c>
    </row>
    <row r="527" spans="1:4" x14ac:dyDescent="0.3">
      <c r="A527" s="2">
        <v>526</v>
      </c>
      <c r="B527" s="2" t="s">
        <v>2383</v>
      </c>
      <c r="C527" s="2" t="s">
        <v>2384</v>
      </c>
      <c r="D527" s="2">
        <v>19800</v>
      </c>
    </row>
    <row r="528" spans="1:4" x14ac:dyDescent="0.3">
      <c r="A528" s="2">
        <v>527</v>
      </c>
      <c r="B528" s="2" t="s">
        <v>2385</v>
      </c>
      <c r="C528" s="2" t="s">
        <v>2386</v>
      </c>
      <c r="D528" s="2">
        <v>10000</v>
      </c>
    </row>
    <row r="529" spans="1:4" x14ac:dyDescent="0.3">
      <c r="A529" s="2">
        <v>528</v>
      </c>
      <c r="B529" s="2" t="s">
        <v>2387</v>
      </c>
      <c r="C529" s="2" t="s">
        <v>2388</v>
      </c>
      <c r="D529" s="2">
        <v>15500</v>
      </c>
    </row>
    <row r="530" spans="1:4" x14ac:dyDescent="0.3">
      <c r="A530" s="2">
        <v>529</v>
      </c>
      <c r="B530" s="2" t="s">
        <v>1334</v>
      </c>
      <c r="C530" s="2" t="s">
        <v>2389</v>
      </c>
      <c r="D530" s="2">
        <v>15000</v>
      </c>
    </row>
    <row r="531" spans="1:4" x14ac:dyDescent="0.3">
      <c r="A531" s="2">
        <v>530</v>
      </c>
      <c r="B531" s="2" t="s">
        <v>2390</v>
      </c>
      <c r="C531" s="2" t="s">
        <v>2391</v>
      </c>
      <c r="D531" s="2">
        <v>16600</v>
      </c>
    </row>
    <row r="532" spans="1:4" x14ac:dyDescent="0.3">
      <c r="A532" s="2">
        <v>531</v>
      </c>
      <c r="B532" s="2" t="s">
        <v>2392</v>
      </c>
      <c r="C532" s="2" t="s">
        <v>2393</v>
      </c>
      <c r="D532" s="2">
        <v>12400</v>
      </c>
    </row>
    <row r="533" spans="1:4" x14ac:dyDescent="0.3">
      <c r="A533" s="2">
        <v>532</v>
      </c>
      <c r="B533" s="2" t="s">
        <v>2394</v>
      </c>
      <c r="C533" s="2" t="s">
        <v>2395</v>
      </c>
      <c r="D533" s="2">
        <v>12500</v>
      </c>
    </row>
    <row r="534" spans="1:4" x14ac:dyDescent="0.3">
      <c r="A534" s="2">
        <v>533</v>
      </c>
      <c r="B534" s="2" t="s">
        <v>2396</v>
      </c>
      <c r="C534" s="2" t="s">
        <v>2397</v>
      </c>
      <c r="D534" s="2">
        <v>5500</v>
      </c>
    </row>
    <row r="535" spans="1:4" x14ac:dyDescent="0.3">
      <c r="A535" s="2">
        <v>534</v>
      </c>
      <c r="B535" s="2" t="s">
        <v>1421</v>
      </c>
      <c r="C535" s="2" t="s">
        <v>2398</v>
      </c>
      <c r="D535" s="2">
        <v>8500</v>
      </c>
    </row>
    <row r="536" spans="1:4" x14ac:dyDescent="0.3">
      <c r="A536" s="2">
        <v>535</v>
      </c>
      <c r="B536" s="2" t="s">
        <v>2399</v>
      </c>
      <c r="C536" s="2" t="s">
        <v>2400</v>
      </c>
      <c r="D536" s="2">
        <v>13500</v>
      </c>
    </row>
    <row r="537" spans="1:4" x14ac:dyDescent="0.3">
      <c r="A537" s="2">
        <v>536</v>
      </c>
      <c r="B537" s="2" t="s">
        <v>2401</v>
      </c>
      <c r="C537" s="2" t="s">
        <v>2402</v>
      </c>
      <c r="D537" s="2">
        <v>5200</v>
      </c>
    </row>
    <row r="538" spans="1:4" x14ac:dyDescent="0.3">
      <c r="A538" s="2">
        <v>537</v>
      </c>
      <c r="B538" s="2" t="s">
        <v>2403</v>
      </c>
      <c r="C538" s="2" t="s">
        <v>2404</v>
      </c>
      <c r="D538" s="2">
        <v>5000</v>
      </c>
    </row>
    <row r="539" spans="1:4" x14ac:dyDescent="0.3">
      <c r="A539" s="2">
        <v>538</v>
      </c>
      <c r="B539" s="2" t="s">
        <v>2405</v>
      </c>
      <c r="C539" s="2" t="s">
        <v>2406</v>
      </c>
      <c r="D539" s="2">
        <v>5200</v>
      </c>
    </row>
    <row r="540" spans="1:4" x14ac:dyDescent="0.3">
      <c r="A540" s="2">
        <v>539</v>
      </c>
      <c r="B540" s="2" t="s">
        <v>2407</v>
      </c>
      <c r="C540" s="2" t="s">
        <v>2408</v>
      </c>
      <c r="D540" s="2">
        <v>5500</v>
      </c>
    </row>
    <row r="541" spans="1:4" x14ac:dyDescent="0.3">
      <c r="A541" s="2">
        <v>540</v>
      </c>
      <c r="B541" s="2" t="s">
        <v>2409</v>
      </c>
      <c r="C541" s="2" t="s">
        <v>2410</v>
      </c>
      <c r="D541" s="2">
        <v>5000</v>
      </c>
    </row>
    <row r="542" spans="1:4" x14ac:dyDescent="0.3">
      <c r="A542" s="2">
        <v>541</v>
      </c>
      <c r="B542" s="2" t="s">
        <v>2411</v>
      </c>
      <c r="C542" s="2" t="s">
        <v>2412</v>
      </c>
      <c r="D542" s="2">
        <v>8500</v>
      </c>
    </row>
    <row r="543" spans="1:4" x14ac:dyDescent="0.3">
      <c r="A543" s="2">
        <v>542</v>
      </c>
      <c r="B543" s="2" t="s">
        <v>2413</v>
      </c>
      <c r="C543" s="2" t="s">
        <v>2414</v>
      </c>
      <c r="D543" s="2">
        <v>9800</v>
      </c>
    </row>
    <row r="544" spans="1:4" x14ac:dyDescent="0.3">
      <c r="A544" s="2">
        <v>543</v>
      </c>
      <c r="B544" s="2" t="s">
        <v>2415</v>
      </c>
      <c r="C544" s="2" t="s">
        <v>2416</v>
      </c>
      <c r="D544" s="2">
        <v>5000</v>
      </c>
    </row>
    <row r="545" spans="1:4" x14ac:dyDescent="0.3">
      <c r="A545" s="2">
        <v>544</v>
      </c>
      <c r="B545" s="2" t="s">
        <v>2417</v>
      </c>
      <c r="C545" s="2" t="s">
        <v>2418</v>
      </c>
      <c r="D545" s="2">
        <v>11400</v>
      </c>
    </row>
    <row r="546" spans="1:4" x14ac:dyDescent="0.3">
      <c r="A546" s="2">
        <v>545</v>
      </c>
      <c r="B546" s="2" t="s">
        <v>2419</v>
      </c>
      <c r="C546" s="2" t="s">
        <v>2420</v>
      </c>
      <c r="D546" s="2">
        <v>12500</v>
      </c>
    </row>
    <row r="547" spans="1:4" x14ac:dyDescent="0.3">
      <c r="A547" s="2">
        <v>546</v>
      </c>
      <c r="B547" s="2" t="s">
        <v>2421</v>
      </c>
      <c r="C547" s="2" t="s">
        <v>2422</v>
      </c>
      <c r="D547" s="2">
        <v>11300</v>
      </c>
    </row>
    <row r="548" spans="1:4" x14ac:dyDescent="0.3">
      <c r="A548" s="2">
        <v>547</v>
      </c>
      <c r="B548" s="2" t="s">
        <v>2423</v>
      </c>
      <c r="C548" s="2" t="s">
        <v>2424</v>
      </c>
      <c r="D548" s="2">
        <v>7000</v>
      </c>
    </row>
    <row r="549" spans="1:4" x14ac:dyDescent="0.3">
      <c r="A549" s="2">
        <v>548</v>
      </c>
      <c r="B549" s="2" t="s">
        <v>2425</v>
      </c>
      <c r="C549" s="2" t="s">
        <v>2426</v>
      </c>
      <c r="D549" s="2">
        <v>11100</v>
      </c>
    </row>
    <row r="550" spans="1:4" x14ac:dyDescent="0.3">
      <c r="A550" s="2">
        <v>549</v>
      </c>
      <c r="B550" s="2" t="s">
        <v>1373</v>
      </c>
      <c r="C550" s="2" t="s">
        <v>2427</v>
      </c>
      <c r="D550" s="2">
        <v>27000</v>
      </c>
    </row>
    <row r="551" spans="1:4" x14ac:dyDescent="0.3">
      <c r="A551" s="2">
        <v>550</v>
      </c>
      <c r="B551" s="2" t="s">
        <v>2428</v>
      </c>
      <c r="C551" s="2" t="s">
        <v>2429</v>
      </c>
      <c r="D551" s="2">
        <v>16000</v>
      </c>
    </row>
    <row r="552" spans="1:4" x14ac:dyDescent="0.3">
      <c r="A552" s="2">
        <v>551</v>
      </c>
      <c r="B552" s="2" t="s">
        <v>1367</v>
      </c>
      <c r="C552" s="2" t="s">
        <v>2430</v>
      </c>
      <c r="D552" s="2">
        <v>16500</v>
      </c>
    </row>
    <row r="553" spans="1:4" x14ac:dyDescent="0.3">
      <c r="A553" s="2">
        <v>552</v>
      </c>
      <c r="B553" s="2" t="s">
        <v>1379</v>
      </c>
      <c r="C553" s="2" t="s">
        <v>2431</v>
      </c>
      <c r="D553" s="2">
        <v>7800</v>
      </c>
    </row>
    <row r="554" spans="1:4" x14ac:dyDescent="0.3">
      <c r="A554" s="2">
        <v>553</v>
      </c>
      <c r="B554" s="2" t="s">
        <v>2432</v>
      </c>
      <c r="C554" s="2" t="s">
        <v>2433</v>
      </c>
      <c r="D554" s="2">
        <v>9900</v>
      </c>
    </row>
    <row r="555" spans="1:4" x14ac:dyDescent="0.3">
      <c r="A555" s="2">
        <v>554</v>
      </c>
      <c r="B555" s="2" t="s">
        <v>2434</v>
      </c>
      <c r="C555" s="2" t="s">
        <v>2435</v>
      </c>
      <c r="D555" s="2">
        <v>24000</v>
      </c>
    </row>
    <row r="556" spans="1:4" x14ac:dyDescent="0.3">
      <c r="A556" s="2">
        <v>555</v>
      </c>
      <c r="B556" s="2" t="s">
        <v>2436</v>
      </c>
      <c r="C556" s="2" t="s">
        <v>2437</v>
      </c>
      <c r="D556" s="2">
        <v>13000</v>
      </c>
    </row>
    <row r="557" spans="1:4" x14ac:dyDescent="0.3">
      <c r="A557" s="2">
        <v>556</v>
      </c>
      <c r="B557" s="2" t="s">
        <v>1382</v>
      </c>
      <c r="C557" s="2" t="s">
        <v>2438</v>
      </c>
      <c r="D557" s="2">
        <v>16200</v>
      </c>
    </row>
    <row r="558" spans="1:4" x14ac:dyDescent="0.3">
      <c r="A558" s="2">
        <v>557</v>
      </c>
      <c r="B558" s="2" t="s">
        <v>2439</v>
      </c>
      <c r="C558" s="2" t="s">
        <v>2440</v>
      </c>
      <c r="D558" s="2">
        <v>5000</v>
      </c>
    </row>
    <row r="559" spans="1:4" x14ac:dyDescent="0.3">
      <c r="A559" s="2">
        <v>558</v>
      </c>
      <c r="B559" s="2" t="s">
        <v>2441</v>
      </c>
      <c r="C559" s="2" t="s">
        <v>2442</v>
      </c>
      <c r="D559" s="2">
        <v>17000</v>
      </c>
    </row>
    <row r="560" spans="1:4" x14ac:dyDescent="0.3">
      <c r="A560" s="2">
        <v>559</v>
      </c>
      <c r="B560" s="2" t="s">
        <v>2443</v>
      </c>
      <c r="C560" s="2" t="s">
        <v>2444</v>
      </c>
      <c r="D560" s="2">
        <v>12600</v>
      </c>
    </row>
    <row r="561" spans="1:4" x14ac:dyDescent="0.3">
      <c r="A561" s="2">
        <v>560</v>
      </c>
      <c r="B561" s="2" t="s">
        <v>1393</v>
      </c>
      <c r="C561" s="2" t="s">
        <v>2445</v>
      </c>
      <c r="D561" s="2">
        <v>5000</v>
      </c>
    </row>
    <row r="562" spans="1:4" x14ac:dyDescent="0.3">
      <c r="A562" s="2">
        <v>561</v>
      </c>
      <c r="B562" s="2" t="s">
        <v>2446</v>
      </c>
      <c r="C562" s="2" t="s">
        <v>2447</v>
      </c>
      <c r="D562" s="2">
        <v>5000</v>
      </c>
    </row>
    <row r="563" spans="1:4" x14ac:dyDescent="0.3">
      <c r="A563" s="2">
        <v>562</v>
      </c>
      <c r="B563" s="2" t="s">
        <v>2448</v>
      </c>
      <c r="C563" s="2" t="s">
        <v>2449</v>
      </c>
      <c r="D563" s="2">
        <v>5000</v>
      </c>
    </row>
    <row r="564" spans="1:4" x14ac:dyDescent="0.3">
      <c r="A564" s="2">
        <v>563</v>
      </c>
      <c r="B564" s="2" t="s">
        <v>2450</v>
      </c>
      <c r="C564" s="2" t="s">
        <v>2451</v>
      </c>
      <c r="D564" s="2">
        <v>5000</v>
      </c>
    </row>
    <row r="565" spans="1:4" x14ac:dyDescent="0.3">
      <c r="A565" s="2">
        <v>564</v>
      </c>
      <c r="B565" s="2" t="s">
        <v>2452</v>
      </c>
      <c r="C565" s="2" t="s">
        <v>2453</v>
      </c>
      <c r="D565" s="2">
        <v>5000</v>
      </c>
    </row>
    <row r="566" spans="1:4" x14ac:dyDescent="0.3">
      <c r="A566" s="2">
        <v>565</v>
      </c>
      <c r="B566" s="2" t="s">
        <v>2454</v>
      </c>
      <c r="C566" s="2" t="s">
        <v>2455</v>
      </c>
      <c r="D566" s="2">
        <v>4500</v>
      </c>
    </row>
    <row r="567" spans="1:4" x14ac:dyDescent="0.3">
      <c r="A567" s="2">
        <v>566</v>
      </c>
      <c r="B567" s="2" t="s">
        <v>2456</v>
      </c>
      <c r="C567" s="2" t="s">
        <v>2457</v>
      </c>
      <c r="D567" s="2">
        <v>4500</v>
      </c>
    </row>
    <row r="568" spans="1:4" x14ac:dyDescent="0.3">
      <c r="A568" s="2">
        <v>567</v>
      </c>
      <c r="B568" s="2" t="s">
        <v>2458</v>
      </c>
      <c r="C568" s="2" t="s">
        <v>2459</v>
      </c>
      <c r="D568" s="2">
        <v>11000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autoLine="0" r:id="rId4">
            <anchor moveWithCells="1">
              <from>
                <xdr:col>4</xdr:col>
                <xdr:colOff>104775</xdr:colOff>
                <xdr:row>0</xdr:row>
                <xdr:rowOff>66675</xdr:rowOff>
              </from>
              <to>
                <xdr:col>5</xdr:col>
                <xdr:colOff>638175</xdr:colOff>
                <xdr:row>2</xdr:row>
                <xdr:rowOff>85725</xdr:rowOff>
              </to>
            </anchor>
          </controlPr>
        </control>
      </mc:Choice>
      <mc:Fallback>
        <control shapeId="9217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102"/>
  <sheetViews>
    <sheetView zoomScale="130" zoomScaleNormal="130" workbookViewId="0">
      <selection activeCell="L13" sqref="L13"/>
    </sheetView>
  </sheetViews>
  <sheetFormatPr defaultRowHeight="16.5" x14ac:dyDescent="0.3"/>
  <cols>
    <col min="1" max="1" width="5.25" style="2" bestFit="1" customWidth="1"/>
    <col min="2" max="3" width="9" style="2" bestFit="1" customWidth="1"/>
    <col min="4" max="7" width="11.125" style="2" bestFit="1" customWidth="1"/>
    <col min="8" max="8" width="9" style="2" bestFit="1" customWidth="1"/>
    <col min="9" max="9" width="9" style="2"/>
    <col min="10" max="11" width="0" hidden="1" customWidth="1"/>
  </cols>
  <sheetData>
    <row r="1" spans="1:17" x14ac:dyDescent="0.3">
      <c r="A1" s="2" t="s">
        <v>0</v>
      </c>
      <c r="B1" s="2" t="s">
        <v>1407</v>
      </c>
      <c r="C1" s="2" t="s">
        <v>1408</v>
      </c>
      <c r="D1" s="2" t="s">
        <v>1409</v>
      </c>
      <c r="E1" s="2" t="s">
        <v>1410</v>
      </c>
      <c r="F1" s="2" t="s">
        <v>1411</v>
      </c>
      <c r="G1" s="2" t="s">
        <v>1412</v>
      </c>
      <c r="H1" s="2" t="s">
        <v>1413</v>
      </c>
      <c r="I1" s="2" t="s">
        <v>1414</v>
      </c>
      <c r="J1" s="2" t="s">
        <v>2513</v>
      </c>
      <c r="K1" s="2" t="s">
        <v>2514</v>
      </c>
      <c r="N1" s="13" t="s">
        <v>2516</v>
      </c>
      <c r="O1" s="12"/>
      <c r="P1" s="12">
        <f>COUNTIFS(B:B, 번호,I:I,"신청")</f>
        <v>0</v>
      </c>
      <c r="Q1" s="12"/>
    </row>
    <row r="2" spans="1:17" x14ac:dyDescent="0.3">
      <c r="A2" s="2">
        <v>1</v>
      </c>
      <c r="B2" s="2">
        <v>1</v>
      </c>
      <c r="C2" s="2" t="s">
        <v>343</v>
      </c>
      <c r="D2" s="3">
        <v>44779</v>
      </c>
      <c r="E2" s="3">
        <v>44809</v>
      </c>
      <c r="F2" s="3">
        <v>44779</v>
      </c>
      <c r="G2" s="3">
        <v>44779</v>
      </c>
      <c r="H2" s="2">
        <v>52000</v>
      </c>
      <c r="I2" s="2" t="s">
        <v>1415</v>
      </c>
      <c r="J2" s="3" t="b">
        <f ca="1">AND(표6[[#This Row],[상태]]="신청",NOW()&gt;표6[[#This Row],[신청일]]+5)</f>
        <v>0</v>
      </c>
      <c r="K2" s="3" t="b">
        <f>IFERROR(RANK(표6[[#This Row],[결제금액]],표6[결제금액])/COUNT(표6[결제금액])&lt;=0.3,FALSE)</f>
        <v>0</v>
      </c>
      <c r="N2" t="str">
        <f>IF(AND(타입&lt;&gt;"강사", 타입&lt;&gt;""),번호,"")</f>
        <v/>
      </c>
    </row>
    <row r="3" spans="1:17" x14ac:dyDescent="0.3">
      <c r="A3" s="2">
        <v>2</v>
      </c>
      <c r="B3" s="2">
        <v>9</v>
      </c>
      <c r="C3" s="2" t="s">
        <v>348</v>
      </c>
      <c r="D3" s="3">
        <v>44800</v>
      </c>
      <c r="E3" s="3">
        <v>45165</v>
      </c>
      <c r="F3" s="3">
        <v>44800</v>
      </c>
      <c r="I3" s="2" t="s">
        <v>1416</v>
      </c>
      <c r="J3" s="3" t="b">
        <f ca="1">AND(표6[[#This Row],[상태]]="신청",NOW()&gt;표6[[#This Row],[신청일]]+5)</f>
        <v>0</v>
      </c>
      <c r="K3" s="3" t="b">
        <f>IFERROR(RANK(표6[[#This Row],[결제금액]],표6[결제금액])/COUNT(표6[결제금액])&lt;=0.3,FALSE)</f>
        <v>0</v>
      </c>
    </row>
    <row r="4" spans="1:17" x14ac:dyDescent="0.3">
      <c r="A4" s="2">
        <v>3</v>
      </c>
      <c r="B4" s="2">
        <v>4</v>
      </c>
      <c r="C4" s="2" t="s">
        <v>374</v>
      </c>
      <c r="D4" s="3">
        <v>44615</v>
      </c>
      <c r="E4" s="3">
        <v>45345</v>
      </c>
      <c r="F4" s="3">
        <v>44615</v>
      </c>
      <c r="G4" s="3">
        <v>44615</v>
      </c>
      <c r="H4" s="2">
        <v>70000</v>
      </c>
      <c r="I4" s="2" t="s">
        <v>1415</v>
      </c>
      <c r="J4" s="3" t="b">
        <f ca="1">AND(표6[[#This Row],[상태]]="신청",NOW()&gt;표6[[#This Row],[신청일]]+5)</f>
        <v>0</v>
      </c>
      <c r="K4" s="3" t="b">
        <f>IFERROR(RANK(표6[[#This Row],[결제금액]],표6[결제금액])/COUNT(표6[결제금액])&lt;=0.3,FALSE)</f>
        <v>0</v>
      </c>
    </row>
    <row r="5" spans="1:17" x14ac:dyDescent="0.3">
      <c r="A5" s="2">
        <v>4</v>
      </c>
      <c r="B5" s="2">
        <v>28</v>
      </c>
      <c r="C5" s="2" t="s">
        <v>398</v>
      </c>
      <c r="D5" s="3">
        <v>44615</v>
      </c>
      <c r="E5" s="3">
        <v>44622</v>
      </c>
      <c r="F5" s="3">
        <v>44615</v>
      </c>
      <c r="G5" s="3">
        <v>44615</v>
      </c>
      <c r="H5" s="2">
        <v>45000</v>
      </c>
      <c r="I5" s="2" t="s">
        <v>1417</v>
      </c>
      <c r="J5" s="3" t="b">
        <f ca="1">AND(표6[[#This Row],[상태]]="신청",NOW()&gt;표6[[#This Row],[신청일]]+5)</f>
        <v>0</v>
      </c>
      <c r="K5" s="3" t="b">
        <f>IFERROR(RANK(표6[[#This Row],[결제금액]],표6[결제금액])/COUNT(표6[결제금액])&lt;=0.3,FALSE)</f>
        <v>0</v>
      </c>
    </row>
    <row r="6" spans="1:17" x14ac:dyDescent="0.3">
      <c r="A6" s="2">
        <v>5</v>
      </c>
      <c r="B6" s="2">
        <v>1</v>
      </c>
      <c r="C6" s="2" t="s">
        <v>354</v>
      </c>
      <c r="D6" s="3">
        <v>44635</v>
      </c>
      <c r="E6" s="3">
        <v>44659</v>
      </c>
      <c r="F6" s="3">
        <v>44635</v>
      </c>
      <c r="G6" s="3">
        <v>44636</v>
      </c>
      <c r="H6" s="2">
        <v>50000</v>
      </c>
      <c r="I6" s="2" t="s">
        <v>1417</v>
      </c>
      <c r="J6" s="3" t="b">
        <f ca="1">AND(표6[[#This Row],[상태]]="신청",NOW()&gt;표6[[#This Row],[신청일]]+5)</f>
        <v>0</v>
      </c>
      <c r="K6" s="3" t="b">
        <f>IFERROR(RANK(표6[[#This Row],[결제금액]],표6[결제금액])/COUNT(표6[결제금액])&lt;=0.3,FALSE)</f>
        <v>0</v>
      </c>
    </row>
    <row r="7" spans="1:17" x14ac:dyDescent="0.3">
      <c r="A7" s="2">
        <v>6</v>
      </c>
      <c r="B7" s="2">
        <v>8</v>
      </c>
      <c r="C7" s="2" t="s">
        <v>374</v>
      </c>
      <c r="D7" s="3">
        <v>44638</v>
      </c>
      <c r="E7" s="3">
        <v>45368</v>
      </c>
      <c r="F7" s="3">
        <v>44638</v>
      </c>
      <c r="G7" s="3">
        <v>44640</v>
      </c>
      <c r="H7" s="2">
        <v>70000</v>
      </c>
      <c r="I7" s="2" t="s">
        <v>1417</v>
      </c>
      <c r="J7" s="3" t="b">
        <f ca="1">AND(표6[[#This Row],[상태]]="신청",NOW()&gt;표6[[#This Row],[신청일]]+5)</f>
        <v>0</v>
      </c>
      <c r="K7" s="3" t="b">
        <f>IFERROR(RANK(표6[[#This Row],[결제금액]],표6[결제금액])/COUNT(표6[결제금액])&lt;=0.3,FALSE)</f>
        <v>0</v>
      </c>
    </row>
    <row r="8" spans="1:17" x14ac:dyDescent="0.3">
      <c r="A8" s="2">
        <v>7</v>
      </c>
      <c r="B8" s="2">
        <v>2</v>
      </c>
      <c r="C8" s="2" t="s">
        <v>446</v>
      </c>
      <c r="D8" s="3">
        <v>44640</v>
      </c>
      <c r="E8" s="3">
        <v>44700</v>
      </c>
      <c r="F8" s="3">
        <v>44640</v>
      </c>
      <c r="G8" s="3">
        <v>44643</v>
      </c>
      <c r="H8" s="2">
        <v>30000</v>
      </c>
      <c r="I8" s="2" t="s">
        <v>1417</v>
      </c>
      <c r="J8" s="3" t="b">
        <f ca="1">AND(표6[[#This Row],[상태]]="신청",NOW()&gt;표6[[#This Row],[신청일]]+5)</f>
        <v>0</v>
      </c>
      <c r="K8" s="3" t="b">
        <f>IFERROR(RANK(표6[[#This Row],[결제금액]],표6[결제금액])/COUNT(표6[결제금액])&lt;=0.3,FALSE)</f>
        <v>0</v>
      </c>
    </row>
    <row r="9" spans="1:17" x14ac:dyDescent="0.3">
      <c r="A9" s="2">
        <v>8</v>
      </c>
      <c r="B9" s="2">
        <v>12</v>
      </c>
      <c r="C9" s="2" t="s">
        <v>425</v>
      </c>
      <c r="D9" s="3">
        <v>44645</v>
      </c>
      <c r="E9" s="3">
        <v>45375</v>
      </c>
      <c r="F9" s="3">
        <v>44645</v>
      </c>
      <c r="G9" s="3">
        <v>44645</v>
      </c>
      <c r="H9" s="2">
        <v>56000</v>
      </c>
      <c r="I9" s="2" t="s">
        <v>1415</v>
      </c>
      <c r="J9" s="3" t="b">
        <f ca="1">AND(표6[[#This Row],[상태]]="신청",NOW()&gt;표6[[#This Row],[신청일]]+5)</f>
        <v>0</v>
      </c>
      <c r="K9" s="3" t="b">
        <f>IFERROR(RANK(표6[[#This Row],[결제금액]],표6[결제금액])/COUNT(표6[결제금액])&lt;=0.3,FALSE)</f>
        <v>0</v>
      </c>
    </row>
    <row r="10" spans="1:17" x14ac:dyDescent="0.3">
      <c r="A10" s="2">
        <v>9</v>
      </c>
      <c r="B10" s="2">
        <v>17</v>
      </c>
      <c r="C10" s="2" t="s">
        <v>559</v>
      </c>
      <c r="D10" s="3">
        <v>44647</v>
      </c>
      <c r="E10" s="3">
        <v>45012</v>
      </c>
      <c r="F10" s="3">
        <v>44647</v>
      </c>
      <c r="G10" s="3">
        <v>44647</v>
      </c>
      <c r="H10" s="2">
        <v>36000</v>
      </c>
      <c r="I10" s="2" t="s">
        <v>1415</v>
      </c>
      <c r="J10" s="3" t="b">
        <f ca="1">AND(표6[[#This Row],[상태]]="신청",NOW()&gt;표6[[#This Row],[신청일]]+5)</f>
        <v>0</v>
      </c>
      <c r="K10" s="3" t="b">
        <f>IFERROR(RANK(표6[[#This Row],[결제금액]],표6[결제금액])/COUNT(표6[결제금액])&lt;=0.3,FALSE)</f>
        <v>0</v>
      </c>
    </row>
    <row r="11" spans="1:17" x14ac:dyDescent="0.3">
      <c r="A11" s="2">
        <v>10</v>
      </c>
      <c r="B11" s="2">
        <v>1</v>
      </c>
      <c r="C11" s="2" t="s">
        <v>482</v>
      </c>
      <c r="D11" s="3">
        <v>44652</v>
      </c>
      <c r="E11" s="3">
        <v>44682</v>
      </c>
      <c r="F11" s="3">
        <v>44652</v>
      </c>
      <c r="I11" s="2" t="s">
        <v>1416</v>
      </c>
      <c r="J11" s="3" t="b">
        <f ca="1">AND(표6[[#This Row],[상태]]="신청",NOW()&gt;표6[[#This Row],[신청일]]+5)</f>
        <v>1</v>
      </c>
      <c r="K11" s="3" t="b">
        <f>IFERROR(RANK(표6[[#This Row],[결제금액]],표6[결제금액])/COUNT(표6[결제금액])&lt;=0.3,FALSE)</f>
        <v>0</v>
      </c>
    </row>
    <row r="12" spans="1:17" x14ac:dyDescent="0.3">
      <c r="A12" s="2">
        <v>11</v>
      </c>
      <c r="B12" s="2">
        <v>3</v>
      </c>
      <c r="C12" s="2" t="s">
        <v>550</v>
      </c>
      <c r="D12" s="3">
        <v>44767</v>
      </c>
      <c r="E12" s="3">
        <v>44827</v>
      </c>
      <c r="F12" s="3">
        <v>44767</v>
      </c>
      <c r="G12" s="3">
        <v>44767</v>
      </c>
      <c r="H12" s="2">
        <v>98000</v>
      </c>
      <c r="I12" s="2" t="s">
        <v>1415</v>
      </c>
      <c r="J12" s="3" t="b">
        <f ca="1">AND(표6[[#This Row],[상태]]="신청",NOW()&gt;표6[[#This Row],[신청일]]+5)</f>
        <v>0</v>
      </c>
      <c r="K12" s="3" t="b">
        <f>IFERROR(RANK(표6[[#This Row],[결제금액]],표6[결제금액])/COUNT(표6[결제금액])&lt;=0.3,FALSE)</f>
        <v>1</v>
      </c>
    </row>
    <row r="13" spans="1:17" x14ac:dyDescent="0.3">
      <c r="A13" s="2">
        <v>12</v>
      </c>
      <c r="B13" s="2">
        <v>7</v>
      </c>
      <c r="C13" s="2" t="s">
        <v>589</v>
      </c>
      <c r="D13" s="3">
        <v>44755</v>
      </c>
      <c r="E13" s="3">
        <v>44845</v>
      </c>
      <c r="F13" s="3">
        <v>44755</v>
      </c>
      <c r="G13" s="3">
        <v>44757</v>
      </c>
      <c r="H13" s="2">
        <v>60000</v>
      </c>
      <c r="I13" s="2" t="s">
        <v>1415</v>
      </c>
      <c r="J13" s="3" t="b">
        <f ca="1">AND(표6[[#This Row],[상태]]="신청",NOW()&gt;표6[[#This Row],[신청일]]+5)</f>
        <v>0</v>
      </c>
      <c r="K13" s="3" t="b">
        <f>IFERROR(RANK(표6[[#This Row],[결제금액]],표6[결제금액])/COUNT(표6[결제금액])&lt;=0.3,FALSE)</f>
        <v>0</v>
      </c>
    </row>
    <row r="14" spans="1:17" x14ac:dyDescent="0.3">
      <c r="A14" s="2">
        <v>13</v>
      </c>
      <c r="B14" s="2">
        <v>13</v>
      </c>
      <c r="C14" s="2" t="s">
        <v>419</v>
      </c>
      <c r="D14" s="3">
        <v>44681</v>
      </c>
      <c r="E14" s="3">
        <v>44711</v>
      </c>
      <c r="F14" s="3">
        <v>44681</v>
      </c>
      <c r="G14" s="3">
        <v>44683</v>
      </c>
      <c r="H14" s="2">
        <v>75000</v>
      </c>
      <c r="I14" s="2" t="s">
        <v>1417</v>
      </c>
      <c r="J14" s="3" t="b">
        <f ca="1">AND(표6[[#This Row],[상태]]="신청",NOW()&gt;표6[[#This Row],[신청일]]+5)</f>
        <v>0</v>
      </c>
      <c r="K14" s="3" t="b">
        <f>IFERROR(RANK(표6[[#This Row],[결제금액]],표6[결제금액])/COUNT(표6[결제금액])&lt;=0.3,FALSE)</f>
        <v>0</v>
      </c>
    </row>
    <row r="15" spans="1:17" x14ac:dyDescent="0.3">
      <c r="A15" s="2">
        <v>14</v>
      </c>
      <c r="B15" s="2">
        <v>1</v>
      </c>
      <c r="C15" s="2" t="s">
        <v>523</v>
      </c>
      <c r="D15" s="3">
        <v>44802</v>
      </c>
      <c r="E15" s="3">
        <v>45532</v>
      </c>
      <c r="F15" s="3">
        <v>44802</v>
      </c>
      <c r="G15" s="3">
        <v>44802</v>
      </c>
      <c r="H15" s="2">
        <v>56000</v>
      </c>
      <c r="I15" s="2" t="s">
        <v>1415</v>
      </c>
      <c r="J15" s="3" t="b">
        <f ca="1">AND(표6[[#This Row],[상태]]="신청",NOW()&gt;표6[[#This Row],[신청일]]+5)</f>
        <v>0</v>
      </c>
      <c r="K15" s="3" t="b">
        <f>IFERROR(RANK(표6[[#This Row],[결제금액]],표6[결제금액])/COUNT(표6[결제금액])&lt;=0.3,FALSE)</f>
        <v>0</v>
      </c>
    </row>
    <row r="16" spans="1:17" x14ac:dyDescent="0.3">
      <c r="A16" s="2">
        <v>15</v>
      </c>
      <c r="B16" s="2">
        <v>10</v>
      </c>
      <c r="C16" s="2" t="s">
        <v>348</v>
      </c>
      <c r="D16" s="3">
        <v>44783</v>
      </c>
      <c r="E16" s="3">
        <v>45148</v>
      </c>
      <c r="F16" s="3">
        <v>44783</v>
      </c>
      <c r="G16" s="3">
        <v>44784</v>
      </c>
      <c r="H16" s="2">
        <v>80000</v>
      </c>
      <c r="I16" s="2" t="s">
        <v>1415</v>
      </c>
      <c r="J16" s="3" t="b">
        <f ca="1">AND(표6[[#This Row],[상태]]="신청",NOW()&gt;표6[[#This Row],[신청일]]+5)</f>
        <v>0</v>
      </c>
      <c r="K16" s="3" t="b">
        <f>IFERROR(RANK(표6[[#This Row],[결제금액]],표6[결제금액])/COUNT(표6[결제금액])&lt;=0.3,FALSE)</f>
        <v>0</v>
      </c>
    </row>
    <row r="17" spans="1:11" x14ac:dyDescent="0.3">
      <c r="A17" s="2">
        <v>16</v>
      </c>
      <c r="B17" s="2">
        <v>25</v>
      </c>
      <c r="C17" s="2" t="s">
        <v>410</v>
      </c>
      <c r="D17" s="3">
        <v>44796</v>
      </c>
      <c r="E17" s="3">
        <v>44811</v>
      </c>
      <c r="F17" s="3">
        <v>44796</v>
      </c>
      <c r="G17" s="3">
        <v>44796</v>
      </c>
      <c r="H17" s="2">
        <v>63000</v>
      </c>
      <c r="I17" s="2" t="s">
        <v>1415</v>
      </c>
      <c r="J17" s="3" t="b">
        <f ca="1">AND(표6[[#This Row],[상태]]="신청",NOW()&gt;표6[[#This Row],[신청일]]+5)</f>
        <v>0</v>
      </c>
      <c r="K17" s="3" t="b">
        <f>IFERROR(RANK(표6[[#This Row],[결제금액]],표6[결제금액])/COUNT(표6[결제금액])&lt;=0.3,FALSE)</f>
        <v>0</v>
      </c>
    </row>
    <row r="18" spans="1:11" x14ac:dyDescent="0.3">
      <c r="A18" s="2">
        <v>17</v>
      </c>
      <c r="B18" s="2">
        <v>1</v>
      </c>
      <c r="C18" s="2" t="s">
        <v>589</v>
      </c>
      <c r="D18" s="3">
        <v>44735</v>
      </c>
      <c r="E18" s="3">
        <v>44825</v>
      </c>
      <c r="F18" s="3">
        <v>44735</v>
      </c>
      <c r="G18" s="3">
        <v>44735</v>
      </c>
      <c r="H18" s="2">
        <v>60000</v>
      </c>
      <c r="I18" s="2" t="s">
        <v>1415</v>
      </c>
      <c r="J18" s="3" t="b">
        <f ca="1">AND(표6[[#This Row],[상태]]="신청",NOW()&gt;표6[[#This Row],[신청일]]+5)</f>
        <v>0</v>
      </c>
      <c r="K18" s="3" t="b">
        <f>IFERROR(RANK(표6[[#This Row],[결제금액]],표6[결제금액])/COUNT(표6[결제금액])&lt;=0.3,FALSE)</f>
        <v>0</v>
      </c>
    </row>
    <row r="19" spans="1:11" x14ac:dyDescent="0.3">
      <c r="A19" s="2">
        <v>18</v>
      </c>
      <c r="B19" s="2">
        <v>23</v>
      </c>
      <c r="C19" s="2" t="s">
        <v>586</v>
      </c>
      <c r="D19" s="3">
        <v>44704</v>
      </c>
      <c r="E19" s="3">
        <v>44764</v>
      </c>
      <c r="F19" s="3">
        <v>44704</v>
      </c>
      <c r="G19" s="3">
        <v>44704</v>
      </c>
      <c r="H19" s="2">
        <v>30000</v>
      </c>
      <c r="I19" s="2" t="s">
        <v>1417</v>
      </c>
      <c r="J19" s="3" t="b">
        <f ca="1">AND(표6[[#This Row],[상태]]="신청",NOW()&gt;표6[[#This Row],[신청일]]+5)</f>
        <v>0</v>
      </c>
      <c r="K19" s="3" t="b">
        <f>IFERROR(RANK(표6[[#This Row],[결제금액]],표6[결제금액])/COUNT(표6[결제금액])&lt;=0.3,FALSE)</f>
        <v>0</v>
      </c>
    </row>
    <row r="20" spans="1:11" x14ac:dyDescent="0.3">
      <c r="A20" s="2">
        <v>19</v>
      </c>
      <c r="B20" s="2">
        <v>1</v>
      </c>
      <c r="C20" s="2" t="s">
        <v>434</v>
      </c>
      <c r="D20" s="3">
        <v>44768</v>
      </c>
      <c r="E20" s="3">
        <v>44828</v>
      </c>
      <c r="F20" s="3">
        <v>44768</v>
      </c>
      <c r="G20" s="3">
        <v>44768</v>
      </c>
      <c r="H20" s="2">
        <v>80000</v>
      </c>
      <c r="I20" s="2" t="s">
        <v>1415</v>
      </c>
      <c r="J20" s="3" t="b">
        <f ca="1">AND(표6[[#This Row],[상태]]="신청",NOW()&gt;표6[[#This Row],[신청일]]+5)</f>
        <v>0</v>
      </c>
      <c r="K20" s="3" t="b">
        <f>IFERROR(RANK(표6[[#This Row],[결제금액]],표6[결제금액])/COUNT(표6[결제금액])&lt;=0.3,FALSE)</f>
        <v>0</v>
      </c>
    </row>
    <row r="21" spans="1:11" x14ac:dyDescent="0.3">
      <c r="A21" s="2">
        <v>20</v>
      </c>
      <c r="B21" s="2">
        <v>15</v>
      </c>
      <c r="C21" s="2" t="s">
        <v>526</v>
      </c>
      <c r="D21" s="3">
        <v>44715</v>
      </c>
      <c r="E21" s="3">
        <v>44775</v>
      </c>
      <c r="F21" s="3">
        <v>44715</v>
      </c>
      <c r="I21" s="2" t="s">
        <v>1416</v>
      </c>
      <c r="J21" s="3" t="b">
        <f ca="1">AND(표6[[#This Row],[상태]]="신청",NOW()&gt;표6[[#This Row],[신청일]]+5)</f>
        <v>1</v>
      </c>
      <c r="K21" s="3" t="b">
        <f>IFERROR(RANK(표6[[#This Row],[결제금액]],표6[결제금액])/COUNT(표6[결제금액])&lt;=0.3,FALSE)</f>
        <v>0</v>
      </c>
    </row>
    <row r="22" spans="1:11" x14ac:dyDescent="0.3">
      <c r="A22" s="2">
        <v>21</v>
      </c>
      <c r="B22" s="2">
        <v>1</v>
      </c>
      <c r="C22" s="2" t="s">
        <v>598</v>
      </c>
      <c r="D22" s="3">
        <v>44720</v>
      </c>
      <c r="E22" s="3">
        <v>44780</v>
      </c>
      <c r="F22" s="3">
        <v>44720</v>
      </c>
      <c r="I22" s="2" t="s">
        <v>1416</v>
      </c>
      <c r="J22" s="3" t="b">
        <f ca="1">AND(표6[[#This Row],[상태]]="신청",NOW()&gt;표6[[#This Row],[신청일]]+5)</f>
        <v>1</v>
      </c>
      <c r="K22" s="3" t="b">
        <f>IFERROR(RANK(표6[[#This Row],[결제금액]],표6[결제금액])/COUNT(표6[결제금액])&lt;=0.3,FALSE)</f>
        <v>0</v>
      </c>
    </row>
    <row r="23" spans="1:11" x14ac:dyDescent="0.3">
      <c r="A23" s="2">
        <v>22</v>
      </c>
      <c r="B23" s="2">
        <v>1</v>
      </c>
      <c r="C23" s="2" t="s">
        <v>568</v>
      </c>
      <c r="D23" s="3">
        <v>44786</v>
      </c>
      <c r="E23" s="3">
        <v>45151</v>
      </c>
      <c r="F23" s="3">
        <v>44786</v>
      </c>
      <c r="G23" s="3">
        <v>44786</v>
      </c>
      <c r="H23" s="2">
        <v>56000</v>
      </c>
      <c r="I23" s="2" t="s">
        <v>2576</v>
      </c>
      <c r="J23" s="3" t="b">
        <f ca="1">AND(표6[[#This Row],[상태]]="신청",NOW()&gt;표6[[#This Row],[신청일]]+5)</f>
        <v>0</v>
      </c>
      <c r="K23" s="3" t="b">
        <f>IFERROR(RANK(표6[[#This Row],[결제금액]],표6[결제금액])/COUNT(표6[결제금액])&lt;=0.3,FALSE)</f>
        <v>0</v>
      </c>
    </row>
    <row r="24" spans="1:11" x14ac:dyDescent="0.3">
      <c r="A24" s="2">
        <v>23</v>
      </c>
      <c r="B24" s="2">
        <v>11</v>
      </c>
      <c r="C24" s="2" t="s">
        <v>641</v>
      </c>
      <c r="D24" s="3">
        <v>44728</v>
      </c>
      <c r="E24" s="3">
        <v>44740</v>
      </c>
      <c r="F24" s="3">
        <v>44728</v>
      </c>
      <c r="G24" s="3">
        <v>44728</v>
      </c>
      <c r="H24" s="2">
        <v>75000</v>
      </c>
      <c r="I24" s="2" t="s">
        <v>1417</v>
      </c>
      <c r="J24" s="3" t="b">
        <f ca="1">AND(표6[[#This Row],[상태]]="신청",NOW()&gt;표6[[#This Row],[신청일]]+5)</f>
        <v>0</v>
      </c>
      <c r="K24" s="3" t="b">
        <f>IFERROR(RANK(표6[[#This Row],[결제금액]],표6[결제금액])/COUNT(표6[결제금액])&lt;=0.3,FALSE)</f>
        <v>0</v>
      </c>
    </row>
    <row r="25" spans="1:11" x14ac:dyDescent="0.3">
      <c r="A25" s="2">
        <v>24</v>
      </c>
      <c r="B25" s="2">
        <v>20</v>
      </c>
      <c r="C25" s="2" t="s">
        <v>410</v>
      </c>
      <c r="D25" s="3">
        <v>44799</v>
      </c>
      <c r="E25" s="3">
        <v>44814</v>
      </c>
      <c r="F25" s="3">
        <v>44799</v>
      </c>
      <c r="G25" s="3">
        <v>44799</v>
      </c>
      <c r="H25" s="2">
        <v>63000</v>
      </c>
      <c r="I25" s="2" t="s">
        <v>1415</v>
      </c>
      <c r="J25" s="3" t="b">
        <f ca="1">AND(표6[[#This Row],[상태]]="신청",NOW()&gt;표6[[#This Row],[신청일]]+5)</f>
        <v>0</v>
      </c>
      <c r="K25" s="3" t="b">
        <f>IFERROR(RANK(표6[[#This Row],[결제금액]],표6[결제금액])/COUNT(표6[결제금액])&lt;=0.3,FALSE)</f>
        <v>0</v>
      </c>
    </row>
    <row r="26" spans="1:11" x14ac:dyDescent="0.3">
      <c r="A26" s="2">
        <v>25</v>
      </c>
      <c r="B26" s="2">
        <v>24</v>
      </c>
      <c r="C26" s="2" t="s">
        <v>467</v>
      </c>
      <c r="D26" s="3">
        <v>44787</v>
      </c>
      <c r="E26" s="3">
        <v>44847</v>
      </c>
      <c r="F26" s="3">
        <v>44787</v>
      </c>
      <c r="G26" s="3">
        <v>44787</v>
      </c>
      <c r="H26" s="2">
        <v>90000</v>
      </c>
      <c r="I26" s="2" t="s">
        <v>1415</v>
      </c>
      <c r="J26" s="3" t="b">
        <f ca="1">AND(표6[[#This Row],[상태]]="신청",NOW()&gt;표6[[#This Row],[신청일]]+5)</f>
        <v>0</v>
      </c>
      <c r="K26" s="3" t="b">
        <f>IFERROR(RANK(표6[[#This Row],[결제금액]],표6[결제금액])/COUNT(표6[결제금액])&lt;=0.3,FALSE)</f>
        <v>1</v>
      </c>
    </row>
    <row r="27" spans="1:11" x14ac:dyDescent="0.3">
      <c r="A27" s="2">
        <v>26</v>
      </c>
      <c r="B27" s="2">
        <v>1</v>
      </c>
      <c r="C27" s="2" t="s">
        <v>580</v>
      </c>
      <c r="D27" s="3">
        <v>44758</v>
      </c>
      <c r="E27" s="3">
        <v>45853</v>
      </c>
      <c r="F27" s="3">
        <v>44758</v>
      </c>
      <c r="G27" s="3">
        <v>44761</v>
      </c>
      <c r="H27" s="2">
        <v>560000</v>
      </c>
      <c r="I27" s="2" t="s">
        <v>1415</v>
      </c>
      <c r="J27" s="3" t="b">
        <f ca="1">AND(표6[[#This Row],[상태]]="신청",NOW()&gt;표6[[#This Row],[신청일]]+5)</f>
        <v>0</v>
      </c>
      <c r="K27" s="3" t="b">
        <f>IFERROR(RANK(표6[[#This Row],[결제금액]],표6[결제금액])/COUNT(표6[결제금액])&lt;=0.3,FALSE)</f>
        <v>1</v>
      </c>
    </row>
    <row r="28" spans="1:11" x14ac:dyDescent="0.3">
      <c r="A28" s="2">
        <v>27</v>
      </c>
      <c r="B28" s="2">
        <v>2</v>
      </c>
      <c r="C28" s="2" t="s">
        <v>425</v>
      </c>
      <c r="D28" s="3">
        <v>44795</v>
      </c>
      <c r="E28" s="3">
        <v>45525</v>
      </c>
      <c r="F28" s="3">
        <v>44795</v>
      </c>
      <c r="G28" s="3">
        <v>44795</v>
      </c>
      <c r="H28" s="2">
        <v>56000</v>
      </c>
      <c r="I28" s="2" t="s">
        <v>1415</v>
      </c>
      <c r="J28" s="3" t="b">
        <f ca="1">AND(표6[[#This Row],[상태]]="신청",NOW()&gt;표6[[#This Row],[신청일]]+5)</f>
        <v>0</v>
      </c>
      <c r="K28" s="3" t="b">
        <f>IFERROR(RANK(표6[[#This Row],[결제금액]],표6[결제금액])/COUNT(표6[결제금액])&lt;=0.3,FALSE)</f>
        <v>0</v>
      </c>
    </row>
    <row r="29" spans="1:11" x14ac:dyDescent="0.3">
      <c r="A29" s="2">
        <v>28</v>
      </c>
      <c r="B29" s="2">
        <v>26</v>
      </c>
      <c r="C29" s="2" t="s">
        <v>503</v>
      </c>
      <c r="D29" s="3">
        <v>44796</v>
      </c>
      <c r="E29" s="3">
        <v>44815</v>
      </c>
      <c r="F29" s="3">
        <v>44796</v>
      </c>
      <c r="G29" s="3">
        <v>44798</v>
      </c>
      <c r="H29" s="2">
        <v>80000</v>
      </c>
      <c r="I29" s="2" t="s">
        <v>1415</v>
      </c>
      <c r="J29" s="3" t="b">
        <f ca="1">AND(표6[[#This Row],[상태]]="신청",NOW()&gt;표6[[#This Row],[신청일]]+5)</f>
        <v>0</v>
      </c>
      <c r="K29" s="3" t="b">
        <f>IFERROR(RANK(표6[[#This Row],[결제금액]],표6[결제금액])/COUNT(표6[결제금액])&lt;=0.3,FALSE)</f>
        <v>0</v>
      </c>
    </row>
    <row r="30" spans="1:11" x14ac:dyDescent="0.3">
      <c r="A30" s="2">
        <v>29</v>
      </c>
      <c r="B30" s="2">
        <v>4</v>
      </c>
      <c r="C30" s="2" t="s">
        <v>592</v>
      </c>
      <c r="D30" s="3">
        <v>44788</v>
      </c>
      <c r="E30" s="3">
        <v>44818</v>
      </c>
      <c r="F30" s="3">
        <v>44788</v>
      </c>
      <c r="G30" s="3">
        <v>44788</v>
      </c>
      <c r="H30" s="2">
        <v>56000</v>
      </c>
      <c r="I30" s="2" t="s">
        <v>1415</v>
      </c>
      <c r="J30" s="3" t="b">
        <f ca="1">AND(표6[[#This Row],[상태]]="신청",NOW()&gt;표6[[#This Row],[신청일]]+5)</f>
        <v>0</v>
      </c>
      <c r="K30" s="3" t="b">
        <f>IFERROR(RANK(표6[[#This Row],[결제금액]],표6[결제금액])/COUNT(표6[결제금액])&lt;=0.3,FALSE)</f>
        <v>0</v>
      </c>
    </row>
    <row r="31" spans="1:11" x14ac:dyDescent="0.3">
      <c r="A31" s="2">
        <v>30</v>
      </c>
      <c r="B31" s="2">
        <v>1</v>
      </c>
      <c r="C31" s="2" t="s">
        <v>425</v>
      </c>
      <c r="D31" s="3">
        <v>44798</v>
      </c>
      <c r="E31" s="3">
        <v>45528</v>
      </c>
      <c r="F31" s="3">
        <v>44798</v>
      </c>
      <c r="G31" s="3">
        <v>44798</v>
      </c>
      <c r="H31" s="2">
        <v>56000</v>
      </c>
      <c r="I31" s="2" t="s">
        <v>1415</v>
      </c>
      <c r="J31" s="3" t="b">
        <f ca="1">AND(표6[[#This Row],[상태]]="신청",NOW()&gt;표6[[#This Row],[신청일]]+5)</f>
        <v>0</v>
      </c>
      <c r="K31" s="3" t="b">
        <f>IFERROR(RANK(표6[[#This Row],[결제금액]],표6[결제금액])/COUNT(표6[결제금액])&lt;=0.3,FALSE)</f>
        <v>0</v>
      </c>
    </row>
    <row r="32" spans="1:11" x14ac:dyDescent="0.3">
      <c r="A32" s="2">
        <v>31</v>
      </c>
      <c r="B32" s="2">
        <v>30</v>
      </c>
      <c r="C32" s="2" t="s">
        <v>635</v>
      </c>
      <c r="D32" s="3">
        <v>44747</v>
      </c>
      <c r="E32" s="3">
        <v>45112</v>
      </c>
      <c r="F32" s="3">
        <v>44747</v>
      </c>
      <c r="G32" s="3">
        <v>44747</v>
      </c>
      <c r="H32" s="2">
        <v>89000</v>
      </c>
      <c r="I32" s="2" t="s">
        <v>1415</v>
      </c>
      <c r="J32" s="3" t="b">
        <f ca="1">AND(표6[[#This Row],[상태]]="신청",NOW()&gt;표6[[#This Row],[신청일]]+5)</f>
        <v>0</v>
      </c>
      <c r="K32" s="3" t="b">
        <f>IFERROR(RANK(표6[[#This Row],[결제금액]],표6[결제금액])/COUNT(표6[결제금액])&lt;=0.3,FALSE)</f>
        <v>1</v>
      </c>
    </row>
    <row r="33" spans="1:11" x14ac:dyDescent="0.3">
      <c r="A33" s="2">
        <v>32</v>
      </c>
      <c r="B33" s="2">
        <v>27</v>
      </c>
      <c r="C33" s="2" t="s">
        <v>624</v>
      </c>
      <c r="D33" s="3">
        <v>44788</v>
      </c>
      <c r="E33" s="3">
        <v>44848</v>
      </c>
      <c r="F33" s="3">
        <v>44788</v>
      </c>
      <c r="G33" s="3">
        <v>44788</v>
      </c>
      <c r="H33" s="2">
        <v>45000</v>
      </c>
      <c r="I33" s="2" t="s">
        <v>1415</v>
      </c>
      <c r="J33" s="3" t="b">
        <f ca="1">AND(표6[[#This Row],[상태]]="신청",NOW()&gt;표6[[#This Row],[신청일]]+5)</f>
        <v>0</v>
      </c>
      <c r="K33" s="3" t="b">
        <f>IFERROR(RANK(표6[[#This Row],[결제금액]],표6[결제금액])/COUNT(표6[결제금액])&lt;=0.3,FALSE)</f>
        <v>0</v>
      </c>
    </row>
    <row r="34" spans="1:11" x14ac:dyDescent="0.3">
      <c r="A34" s="2">
        <v>33</v>
      </c>
      <c r="B34" s="2">
        <v>1</v>
      </c>
      <c r="C34" s="2" t="s">
        <v>618</v>
      </c>
      <c r="D34" s="3">
        <v>44764</v>
      </c>
      <c r="E34" s="3">
        <v>45494</v>
      </c>
      <c r="F34" s="3">
        <v>44764</v>
      </c>
      <c r="G34" s="3">
        <v>44764</v>
      </c>
      <c r="H34" s="2">
        <v>86000</v>
      </c>
      <c r="I34" s="2" t="s">
        <v>1415</v>
      </c>
      <c r="J34" s="3" t="b">
        <f ca="1">AND(표6[[#This Row],[상태]]="신청",NOW()&gt;표6[[#This Row],[신청일]]+5)</f>
        <v>0</v>
      </c>
      <c r="K34" s="3" t="b">
        <f>IFERROR(RANK(표6[[#This Row],[결제금액]],표6[결제금액])/COUNT(표6[결제금액])&lt;=0.3,FALSE)</f>
        <v>0</v>
      </c>
    </row>
    <row r="35" spans="1:11" x14ac:dyDescent="0.3">
      <c r="A35" s="2">
        <v>34</v>
      </c>
      <c r="B35" s="2">
        <v>21</v>
      </c>
      <c r="C35" s="2" t="s">
        <v>609</v>
      </c>
      <c r="D35" s="3">
        <v>44773</v>
      </c>
      <c r="E35" s="3">
        <v>44803</v>
      </c>
      <c r="F35" s="3">
        <v>44773</v>
      </c>
      <c r="G35" s="3">
        <v>44773</v>
      </c>
      <c r="H35" s="2">
        <v>65000</v>
      </c>
      <c r="I35" s="2" t="s">
        <v>1415</v>
      </c>
      <c r="J35" s="3" t="b">
        <f ca="1">AND(표6[[#This Row],[상태]]="신청",NOW()&gt;표6[[#This Row],[신청일]]+5)</f>
        <v>0</v>
      </c>
      <c r="K35" s="3" t="b">
        <f>IFERROR(RANK(표6[[#This Row],[결제금액]],표6[결제금액])/COUNT(표6[결제금액])&lt;=0.3,FALSE)</f>
        <v>0</v>
      </c>
    </row>
    <row r="36" spans="1:11" x14ac:dyDescent="0.3">
      <c r="A36" s="2">
        <v>35</v>
      </c>
      <c r="B36" s="2">
        <v>3</v>
      </c>
      <c r="C36" s="2" t="s">
        <v>665</v>
      </c>
      <c r="D36" s="3">
        <v>44802</v>
      </c>
      <c r="E36" s="3">
        <v>44805</v>
      </c>
      <c r="F36" s="3">
        <v>44802</v>
      </c>
      <c r="G36" s="3">
        <v>44802</v>
      </c>
      <c r="H36" s="2">
        <v>15000</v>
      </c>
      <c r="I36" s="2" t="s">
        <v>1415</v>
      </c>
      <c r="J36" s="3" t="b">
        <f ca="1">AND(표6[[#This Row],[상태]]="신청",NOW()&gt;표6[[#This Row],[신청일]]+5)</f>
        <v>0</v>
      </c>
      <c r="K36" s="3" t="b">
        <f>IFERROR(RANK(표6[[#This Row],[결제금액]],표6[결제금액])/COUNT(표6[결제금액])&lt;=0.3,FALSE)</f>
        <v>0</v>
      </c>
    </row>
    <row r="37" spans="1:11" x14ac:dyDescent="0.3">
      <c r="A37" s="2">
        <v>36</v>
      </c>
      <c r="B37" s="2">
        <v>13</v>
      </c>
      <c r="C37" s="2" t="s">
        <v>671</v>
      </c>
      <c r="D37" s="3">
        <v>44800</v>
      </c>
      <c r="E37" s="3">
        <v>44825</v>
      </c>
      <c r="F37" s="3">
        <v>44800</v>
      </c>
      <c r="G37" s="3">
        <v>44800</v>
      </c>
      <c r="H37" s="2">
        <v>89000</v>
      </c>
      <c r="I37" s="2" t="s">
        <v>1415</v>
      </c>
      <c r="J37" s="3" t="b">
        <f ca="1">AND(표6[[#This Row],[상태]]="신청",NOW()&gt;표6[[#This Row],[신청일]]+5)</f>
        <v>0</v>
      </c>
      <c r="K37" s="3" t="b">
        <f>IFERROR(RANK(표6[[#This Row],[결제금액]],표6[결제금액])/COUNT(표6[결제금액])&lt;=0.3,FALSE)</f>
        <v>1</v>
      </c>
    </row>
    <row r="38" spans="1:11" x14ac:dyDescent="0.3">
      <c r="A38" s="2">
        <v>37</v>
      </c>
      <c r="B38" s="2">
        <v>3</v>
      </c>
      <c r="C38" s="2" t="s">
        <v>671</v>
      </c>
      <c r="D38" s="3">
        <v>44800</v>
      </c>
      <c r="E38" s="3">
        <v>44825</v>
      </c>
      <c r="F38" s="3">
        <v>44800</v>
      </c>
      <c r="I38" s="2" t="s">
        <v>1416</v>
      </c>
      <c r="J38" s="3" t="b">
        <f ca="1">AND(표6[[#This Row],[상태]]="신청",NOW()&gt;표6[[#This Row],[신청일]]+5)</f>
        <v>0</v>
      </c>
      <c r="K38" s="3" t="b">
        <f>IFERROR(RANK(표6[[#This Row],[결제금액]],표6[결제금액])/COUNT(표6[결제금액])&lt;=0.3,FALSE)</f>
        <v>0</v>
      </c>
    </row>
    <row r="39" spans="1:11" x14ac:dyDescent="0.3">
      <c r="A39" s="2">
        <v>38</v>
      </c>
      <c r="B39" s="2">
        <v>9</v>
      </c>
      <c r="C39" s="2" t="s">
        <v>653</v>
      </c>
      <c r="D39" s="3">
        <v>44309</v>
      </c>
      <c r="E39" s="3">
        <v>44674</v>
      </c>
      <c r="F39" s="3">
        <v>44309</v>
      </c>
      <c r="G39" s="3">
        <v>44309</v>
      </c>
      <c r="H39" s="2">
        <v>15000</v>
      </c>
      <c r="I39" s="2" t="s">
        <v>1417</v>
      </c>
      <c r="J39" s="3" t="b">
        <f ca="1">AND(표6[[#This Row],[상태]]="신청",NOW()&gt;표6[[#This Row],[신청일]]+5)</f>
        <v>0</v>
      </c>
      <c r="K39" s="3" t="b">
        <f>IFERROR(RANK(표6[[#This Row],[결제금액]],표6[결제금액])/COUNT(표6[결제금액])&lt;=0.3,FALSE)</f>
        <v>0</v>
      </c>
    </row>
    <row r="40" spans="1:11" x14ac:dyDescent="0.3">
      <c r="A40" s="2">
        <v>39</v>
      </c>
      <c r="B40" s="2">
        <v>5</v>
      </c>
      <c r="C40" s="2" t="s">
        <v>647</v>
      </c>
      <c r="D40" s="3">
        <v>44799</v>
      </c>
      <c r="E40" s="3">
        <v>44814</v>
      </c>
      <c r="F40" s="3">
        <v>44799</v>
      </c>
      <c r="I40" s="2" t="s">
        <v>1416</v>
      </c>
      <c r="J40" s="3" t="b">
        <f ca="1">AND(표6[[#This Row],[상태]]="신청",NOW()&gt;표6[[#This Row],[신청일]]+5)</f>
        <v>0</v>
      </c>
      <c r="K40" s="3" t="b">
        <f>IFERROR(RANK(표6[[#This Row],[결제금액]],표6[결제금액])/COUNT(표6[결제금액])&lt;=0.3,FALSE)</f>
        <v>0</v>
      </c>
    </row>
    <row r="41" spans="1:11" x14ac:dyDescent="0.3">
      <c r="A41" s="2">
        <v>40</v>
      </c>
      <c r="B41" s="2">
        <v>25</v>
      </c>
      <c r="C41" s="2" t="s">
        <v>674</v>
      </c>
      <c r="D41" s="3">
        <v>44727</v>
      </c>
      <c r="E41" s="3">
        <v>44787</v>
      </c>
      <c r="F41" s="3">
        <v>44727</v>
      </c>
      <c r="G41" s="3">
        <v>44727</v>
      </c>
      <c r="H41" s="2">
        <v>56000</v>
      </c>
      <c r="I41" s="2" t="s">
        <v>1417</v>
      </c>
      <c r="J41" s="3" t="b">
        <f ca="1">AND(표6[[#This Row],[상태]]="신청",NOW()&gt;표6[[#This Row],[신청일]]+5)</f>
        <v>0</v>
      </c>
      <c r="K41" s="3" t="b">
        <f>IFERROR(RANK(표6[[#This Row],[결제금액]],표6[결제금액])/COUNT(표6[결제금액])&lt;=0.3,FALSE)</f>
        <v>0</v>
      </c>
    </row>
    <row r="42" spans="1:11" x14ac:dyDescent="0.3">
      <c r="A42" s="2">
        <v>41</v>
      </c>
      <c r="B42" s="2">
        <v>12</v>
      </c>
      <c r="C42" s="2" t="s">
        <v>677</v>
      </c>
      <c r="D42" s="3">
        <v>44753</v>
      </c>
      <c r="E42" s="3">
        <v>45118</v>
      </c>
      <c r="F42" s="3">
        <v>44753</v>
      </c>
      <c r="G42" s="3">
        <v>44753</v>
      </c>
      <c r="H42" s="2">
        <v>100000</v>
      </c>
      <c r="I42" s="2" t="s">
        <v>1415</v>
      </c>
      <c r="J42" s="3" t="b">
        <f ca="1">AND(표6[[#This Row],[상태]]="신청",NOW()&gt;표6[[#This Row],[신청일]]+5)</f>
        <v>0</v>
      </c>
      <c r="K42" s="3" t="b">
        <f>IFERROR(RANK(표6[[#This Row],[결제금액]],표6[결제금액])/COUNT(표6[결제금액])&lt;=0.3,FALSE)</f>
        <v>1</v>
      </c>
    </row>
    <row r="43" spans="1:11" x14ac:dyDescent="0.3">
      <c r="A43" s="2">
        <v>42</v>
      </c>
      <c r="B43" s="2">
        <v>13</v>
      </c>
      <c r="C43" s="2" t="s">
        <v>695</v>
      </c>
      <c r="D43" s="3">
        <v>44802</v>
      </c>
      <c r="E43" s="3">
        <v>44812</v>
      </c>
      <c r="F43" s="3">
        <v>44802</v>
      </c>
      <c r="G43" s="3">
        <v>44802</v>
      </c>
      <c r="H43" s="2">
        <v>45000</v>
      </c>
      <c r="I43" s="2" t="s">
        <v>1415</v>
      </c>
      <c r="J43" s="3" t="b">
        <f ca="1">AND(표6[[#This Row],[상태]]="신청",NOW()&gt;표6[[#This Row],[신청일]]+5)</f>
        <v>0</v>
      </c>
      <c r="K43" s="3" t="b">
        <f>IFERROR(RANK(표6[[#This Row],[결제금액]],표6[결제금액])/COUNT(표6[결제금액])&lt;=0.3,FALSE)</f>
        <v>0</v>
      </c>
    </row>
    <row r="44" spans="1:11" x14ac:dyDescent="0.3">
      <c r="A44" s="2">
        <v>43</v>
      </c>
      <c r="B44" s="2">
        <v>16</v>
      </c>
      <c r="C44" s="2" t="s">
        <v>698</v>
      </c>
      <c r="D44" s="3">
        <v>44323</v>
      </c>
      <c r="E44" s="3">
        <v>44688</v>
      </c>
      <c r="F44" s="3">
        <v>44323</v>
      </c>
      <c r="G44" s="3">
        <v>44323</v>
      </c>
      <c r="H44" s="2">
        <v>15000</v>
      </c>
      <c r="I44" s="2" t="s">
        <v>1417</v>
      </c>
      <c r="J44" s="3" t="b">
        <f ca="1">AND(표6[[#This Row],[상태]]="신청",NOW()&gt;표6[[#This Row],[신청일]]+5)</f>
        <v>0</v>
      </c>
      <c r="K44" s="3" t="b">
        <f>IFERROR(RANK(표6[[#This Row],[결제금액]],표6[결제금액])/COUNT(표6[결제금액])&lt;=0.3,FALSE)</f>
        <v>0</v>
      </c>
    </row>
    <row r="45" spans="1:11" x14ac:dyDescent="0.3">
      <c r="A45" s="2">
        <v>44</v>
      </c>
      <c r="B45" s="2">
        <v>1</v>
      </c>
      <c r="C45" s="2" t="s">
        <v>710</v>
      </c>
      <c r="D45" s="3">
        <v>44800</v>
      </c>
      <c r="E45" s="3">
        <v>44825</v>
      </c>
      <c r="F45" s="3">
        <v>44800</v>
      </c>
      <c r="I45" s="2" t="s">
        <v>1416</v>
      </c>
      <c r="J45" s="3" t="b">
        <f ca="1">AND(표6[[#This Row],[상태]]="신청",NOW()&gt;표6[[#This Row],[신청일]]+5)</f>
        <v>0</v>
      </c>
      <c r="K45" s="3" t="b">
        <f>IFERROR(RANK(표6[[#This Row],[결제금액]],표6[결제금액])/COUNT(표6[결제금액])&lt;=0.3,FALSE)</f>
        <v>0</v>
      </c>
    </row>
    <row r="46" spans="1:11" x14ac:dyDescent="0.3">
      <c r="A46" s="2">
        <v>45</v>
      </c>
      <c r="B46" s="2">
        <v>20</v>
      </c>
      <c r="C46" s="2" t="s">
        <v>745</v>
      </c>
      <c r="D46" s="3">
        <v>44428</v>
      </c>
      <c r="E46" s="3">
        <v>44793</v>
      </c>
      <c r="F46" s="3">
        <v>44428</v>
      </c>
      <c r="G46" s="3">
        <v>44428</v>
      </c>
      <c r="H46" s="2">
        <v>45000</v>
      </c>
      <c r="I46" s="2" t="s">
        <v>1417</v>
      </c>
      <c r="J46" s="3" t="b">
        <f ca="1">AND(표6[[#This Row],[상태]]="신청",NOW()&gt;표6[[#This Row],[신청일]]+5)</f>
        <v>0</v>
      </c>
      <c r="K46" s="3" t="b">
        <f>IFERROR(RANK(표6[[#This Row],[결제금액]],표6[결제금액])/COUNT(표6[결제금액])&lt;=0.3,FALSE)</f>
        <v>0</v>
      </c>
    </row>
    <row r="47" spans="1:11" x14ac:dyDescent="0.3">
      <c r="A47" s="2">
        <v>46</v>
      </c>
      <c r="B47" s="2">
        <v>28</v>
      </c>
      <c r="C47" s="2" t="s">
        <v>769</v>
      </c>
      <c r="D47" s="3">
        <v>44743</v>
      </c>
      <c r="E47" s="3">
        <v>45108</v>
      </c>
      <c r="F47" s="3">
        <v>44743</v>
      </c>
      <c r="G47" s="3">
        <v>44743</v>
      </c>
      <c r="H47" s="2">
        <v>36000</v>
      </c>
      <c r="I47" s="2" t="s">
        <v>1415</v>
      </c>
      <c r="J47" s="3" t="b">
        <f ca="1">AND(표6[[#This Row],[상태]]="신청",NOW()&gt;표6[[#This Row],[신청일]]+5)</f>
        <v>0</v>
      </c>
      <c r="K47" s="3" t="b">
        <f>IFERROR(RANK(표6[[#This Row],[결제금액]],표6[결제금액])/COUNT(표6[결제금액])&lt;=0.3,FALSE)</f>
        <v>0</v>
      </c>
    </row>
    <row r="48" spans="1:11" x14ac:dyDescent="0.3">
      <c r="A48" s="2">
        <v>47</v>
      </c>
      <c r="B48" s="2">
        <v>25</v>
      </c>
      <c r="C48" s="2" t="s">
        <v>766</v>
      </c>
      <c r="D48" s="3">
        <v>44744</v>
      </c>
      <c r="E48" s="3">
        <v>44894</v>
      </c>
      <c r="F48" s="3">
        <v>44744</v>
      </c>
      <c r="G48" s="3">
        <v>44744</v>
      </c>
      <c r="H48" s="2">
        <v>91000</v>
      </c>
      <c r="I48" s="2" t="s">
        <v>1415</v>
      </c>
      <c r="J48" s="3" t="b">
        <f ca="1">AND(표6[[#This Row],[상태]]="신청",NOW()&gt;표6[[#This Row],[신청일]]+5)</f>
        <v>0</v>
      </c>
      <c r="K48" s="3" t="b">
        <f>IFERROR(RANK(표6[[#This Row],[결제금액]],표6[결제금액])/COUNT(표6[결제금액])&lt;=0.3,FALSE)</f>
        <v>1</v>
      </c>
    </row>
    <row r="49" spans="1:11" x14ac:dyDescent="0.3">
      <c r="A49" s="2">
        <v>48</v>
      </c>
      <c r="B49" s="2">
        <v>25</v>
      </c>
      <c r="C49" s="2" t="s">
        <v>796</v>
      </c>
      <c r="D49" s="3">
        <v>44765</v>
      </c>
      <c r="E49" s="3">
        <v>45130</v>
      </c>
      <c r="F49" s="3">
        <v>44765</v>
      </c>
      <c r="I49" s="2" t="s">
        <v>1416</v>
      </c>
      <c r="J49" s="3" t="b">
        <f ca="1">AND(표6[[#This Row],[상태]]="신청",NOW()&gt;표6[[#This Row],[신청일]]+5)</f>
        <v>1</v>
      </c>
      <c r="K49" s="3" t="b">
        <f>IFERROR(RANK(표6[[#This Row],[결제금액]],표6[결제금액])/COUNT(표6[결제금액])&lt;=0.3,FALSE)</f>
        <v>0</v>
      </c>
    </row>
    <row r="50" spans="1:11" x14ac:dyDescent="0.3">
      <c r="A50" s="2">
        <v>49</v>
      </c>
      <c r="B50" s="2">
        <v>13</v>
      </c>
      <c r="C50" s="2" t="s">
        <v>817</v>
      </c>
      <c r="D50" s="3">
        <v>44801</v>
      </c>
      <c r="E50" s="3">
        <v>44813</v>
      </c>
      <c r="F50" s="3">
        <v>44801</v>
      </c>
      <c r="G50" s="3">
        <v>44801</v>
      </c>
      <c r="H50" s="2">
        <v>930000</v>
      </c>
      <c r="I50" s="2" t="s">
        <v>1415</v>
      </c>
      <c r="J50" s="3" t="b">
        <f ca="1">AND(표6[[#This Row],[상태]]="신청",NOW()&gt;표6[[#This Row],[신청일]]+5)</f>
        <v>0</v>
      </c>
      <c r="K50" s="3" t="b">
        <f>IFERROR(RANK(표6[[#This Row],[결제금액]],표6[결제금액])/COUNT(표6[결제금액])&lt;=0.3,FALSE)</f>
        <v>1</v>
      </c>
    </row>
    <row r="51" spans="1:11" x14ac:dyDescent="0.3">
      <c r="A51" s="2">
        <v>50</v>
      </c>
      <c r="B51" s="2">
        <v>6</v>
      </c>
      <c r="C51" s="2" t="s">
        <v>787</v>
      </c>
      <c r="D51" s="3">
        <v>44778</v>
      </c>
      <c r="E51" s="3">
        <v>44808</v>
      </c>
      <c r="F51" s="3">
        <v>44778</v>
      </c>
      <c r="G51" s="3">
        <v>44778</v>
      </c>
      <c r="H51" s="2">
        <v>34000</v>
      </c>
      <c r="I51" s="2" t="s">
        <v>1415</v>
      </c>
      <c r="J51" s="3" t="b">
        <f ca="1">AND(표6[[#This Row],[상태]]="신청",NOW()&gt;표6[[#This Row],[신청일]]+5)</f>
        <v>0</v>
      </c>
      <c r="K51" s="3" t="b">
        <f>IFERROR(RANK(표6[[#This Row],[결제금액]],표6[결제금액])/COUNT(표6[결제금액])&lt;=0.3,FALSE)</f>
        <v>0</v>
      </c>
    </row>
    <row r="52" spans="1:11" x14ac:dyDescent="0.3">
      <c r="A52" s="2">
        <v>51</v>
      </c>
      <c r="B52" s="2">
        <v>19</v>
      </c>
      <c r="C52" s="2" t="s">
        <v>781</v>
      </c>
      <c r="D52" s="3">
        <v>44760</v>
      </c>
      <c r="E52" s="3">
        <v>44820</v>
      </c>
      <c r="F52" s="3">
        <v>44760</v>
      </c>
      <c r="G52" s="3">
        <v>44760</v>
      </c>
      <c r="H52" s="2">
        <v>17000</v>
      </c>
      <c r="I52" s="2" t="s">
        <v>1415</v>
      </c>
      <c r="J52" s="3" t="b">
        <f ca="1">AND(표6[[#This Row],[상태]]="신청",NOW()&gt;표6[[#This Row],[신청일]]+5)</f>
        <v>0</v>
      </c>
      <c r="K52" s="3" t="b">
        <f>IFERROR(RANK(표6[[#This Row],[결제금액]],표6[결제금액])/COUNT(표6[결제금액])&lt;=0.3,FALSE)</f>
        <v>0</v>
      </c>
    </row>
    <row r="53" spans="1:11" x14ac:dyDescent="0.3">
      <c r="A53" s="2">
        <v>52</v>
      </c>
      <c r="B53" s="2">
        <v>1</v>
      </c>
      <c r="C53" s="2" t="s">
        <v>784</v>
      </c>
      <c r="D53" s="3">
        <v>44786</v>
      </c>
      <c r="E53" s="3">
        <v>44876</v>
      </c>
      <c r="F53" s="3">
        <v>44786</v>
      </c>
      <c r="G53" s="3">
        <v>44786</v>
      </c>
      <c r="H53" s="2">
        <v>92000</v>
      </c>
      <c r="I53" s="2" t="s">
        <v>1415</v>
      </c>
      <c r="J53" s="3" t="b">
        <f ca="1">AND(표6[[#This Row],[상태]]="신청",NOW()&gt;표6[[#This Row],[신청일]]+5)</f>
        <v>0</v>
      </c>
      <c r="K53" s="3" t="b">
        <f>IFERROR(RANK(표6[[#This Row],[결제금액]],표6[결제금액])/COUNT(표6[결제금액])&lt;=0.3,FALSE)</f>
        <v>1</v>
      </c>
    </row>
    <row r="54" spans="1:11" x14ac:dyDescent="0.3">
      <c r="A54" s="2">
        <v>53</v>
      </c>
      <c r="B54" s="2">
        <v>7</v>
      </c>
      <c r="C54" s="2" t="s">
        <v>820</v>
      </c>
      <c r="D54" s="3">
        <v>44803</v>
      </c>
      <c r="E54" s="3">
        <v>44818</v>
      </c>
      <c r="F54" s="3">
        <v>44803</v>
      </c>
      <c r="G54" s="3">
        <v>44803</v>
      </c>
      <c r="H54" s="2">
        <v>54000</v>
      </c>
      <c r="I54" s="2" t="s">
        <v>1415</v>
      </c>
      <c r="J54" s="3" t="b">
        <f ca="1">AND(표6[[#This Row],[상태]]="신청",NOW()&gt;표6[[#This Row],[신청일]]+5)</f>
        <v>0</v>
      </c>
      <c r="K54" s="3" t="b">
        <f>IFERROR(RANK(표6[[#This Row],[결제금액]],표6[결제금액])/COUNT(표6[결제금액])&lt;=0.3,FALSE)</f>
        <v>0</v>
      </c>
    </row>
    <row r="55" spans="1:11" x14ac:dyDescent="0.3">
      <c r="A55" s="2">
        <v>54</v>
      </c>
      <c r="B55" s="2">
        <v>13</v>
      </c>
      <c r="C55" s="2" t="s">
        <v>796</v>
      </c>
      <c r="D55" s="3">
        <v>44749</v>
      </c>
      <c r="E55" s="3">
        <v>45114</v>
      </c>
      <c r="F55" s="3">
        <v>44749</v>
      </c>
      <c r="G55" s="3">
        <v>44749</v>
      </c>
      <c r="H55" s="2">
        <v>67000</v>
      </c>
      <c r="I55" s="2" t="s">
        <v>1415</v>
      </c>
      <c r="J55" s="3" t="b">
        <f ca="1">AND(표6[[#This Row],[상태]]="신청",NOW()&gt;표6[[#This Row],[신청일]]+5)</f>
        <v>0</v>
      </c>
      <c r="K55" s="3" t="b">
        <f>IFERROR(RANK(표6[[#This Row],[결제금액]],표6[결제금액])/COUNT(표6[결제금액])&lt;=0.3,FALSE)</f>
        <v>0</v>
      </c>
    </row>
    <row r="56" spans="1:11" x14ac:dyDescent="0.3">
      <c r="A56" s="2">
        <v>55</v>
      </c>
      <c r="B56" s="2">
        <v>22</v>
      </c>
      <c r="C56" s="2" t="s">
        <v>814</v>
      </c>
      <c r="D56" s="3">
        <v>44791</v>
      </c>
      <c r="E56" s="3">
        <v>44821</v>
      </c>
      <c r="F56" s="3">
        <v>44791</v>
      </c>
      <c r="G56" s="3">
        <v>44791</v>
      </c>
      <c r="H56" s="2">
        <v>620000</v>
      </c>
      <c r="I56" s="2" t="s">
        <v>1415</v>
      </c>
      <c r="J56" s="3" t="b">
        <f ca="1">AND(표6[[#This Row],[상태]]="신청",NOW()&gt;표6[[#This Row],[신청일]]+5)</f>
        <v>0</v>
      </c>
      <c r="K56" s="3" t="b">
        <f>IFERROR(RANK(표6[[#This Row],[결제금액]],표6[결제금액])/COUNT(표6[결제금액])&lt;=0.3,FALSE)</f>
        <v>1</v>
      </c>
    </row>
    <row r="57" spans="1:11" x14ac:dyDescent="0.3">
      <c r="A57" s="2">
        <v>56</v>
      </c>
      <c r="B57" s="2">
        <v>9</v>
      </c>
      <c r="C57" s="2" t="s">
        <v>865</v>
      </c>
      <c r="D57" s="3">
        <v>44754</v>
      </c>
      <c r="E57" s="3">
        <v>45484</v>
      </c>
      <c r="F57" s="3">
        <v>44754</v>
      </c>
      <c r="I57" s="2" t="s">
        <v>1416</v>
      </c>
      <c r="J57" s="3" t="b">
        <f ca="1">AND(표6[[#This Row],[상태]]="신청",NOW()&gt;표6[[#This Row],[신청일]]+5)</f>
        <v>1</v>
      </c>
      <c r="K57" s="3" t="b">
        <f>IFERROR(RANK(표6[[#This Row],[결제금액]],표6[결제금액])/COUNT(표6[결제금액])&lt;=0.3,FALSE)</f>
        <v>0</v>
      </c>
    </row>
    <row r="58" spans="1:11" x14ac:dyDescent="0.3">
      <c r="A58" s="2">
        <v>57</v>
      </c>
      <c r="B58" s="2">
        <v>10</v>
      </c>
      <c r="C58" s="2" t="s">
        <v>838</v>
      </c>
      <c r="D58" s="3">
        <v>44787</v>
      </c>
      <c r="E58" s="3">
        <v>44877</v>
      </c>
      <c r="F58" s="3">
        <v>44787</v>
      </c>
      <c r="I58" s="2" t="s">
        <v>1416</v>
      </c>
      <c r="J58" s="3" t="b">
        <f ca="1">AND(표6[[#This Row],[상태]]="신청",NOW()&gt;표6[[#This Row],[신청일]]+5)</f>
        <v>0</v>
      </c>
      <c r="K58" s="3" t="b">
        <f>IFERROR(RANK(표6[[#This Row],[결제금액]],표6[결제금액])/COUNT(표6[결제금액])&lt;=0.3,FALSE)</f>
        <v>0</v>
      </c>
    </row>
    <row r="59" spans="1:11" x14ac:dyDescent="0.3">
      <c r="A59" s="2">
        <v>58</v>
      </c>
      <c r="B59" s="2">
        <v>18</v>
      </c>
      <c r="C59" s="2" t="s">
        <v>886</v>
      </c>
      <c r="D59" s="3">
        <v>44790</v>
      </c>
      <c r="E59" s="3">
        <v>44850</v>
      </c>
      <c r="F59" s="3">
        <v>44790</v>
      </c>
      <c r="G59" s="3">
        <v>44790</v>
      </c>
      <c r="H59" s="2">
        <v>16000</v>
      </c>
      <c r="I59" s="2" t="s">
        <v>1415</v>
      </c>
      <c r="J59" s="3" t="b">
        <f ca="1">AND(표6[[#This Row],[상태]]="신청",NOW()&gt;표6[[#This Row],[신청일]]+5)</f>
        <v>0</v>
      </c>
      <c r="K59" s="3" t="b">
        <f>IFERROR(RANK(표6[[#This Row],[결제금액]],표6[결제금액])/COUNT(표6[결제금액])&lt;=0.3,FALSE)</f>
        <v>0</v>
      </c>
    </row>
    <row r="60" spans="1:11" x14ac:dyDescent="0.3">
      <c r="A60" s="2">
        <v>59</v>
      </c>
      <c r="B60" s="2">
        <v>30</v>
      </c>
      <c r="C60" s="2" t="s">
        <v>889</v>
      </c>
      <c r="D60" s="3">
        <v>44790</v>
      </c>
      <c r="E60" s="3">
        <v>44880</v>
      </c>
      <c r="F60" s="3">
        <v>44790</v>
      </c>
      <c r="G60" s="3">
        <v>44790</v>
      </c>
      <c r="H60" s="2">
        <v>45000</v>
      </c>
      <c r="I60" s="2" t="s">
        <v>1415</v>
      </c>
      <c r="J60" s="3" t="b">
        <f ca="1">AND(표6[[#This Row],[상태]]="신청",NOW()&gt;표6[[#This Row],[신청일]]+5)</f>
        <v>0</v>
      </c>
      <c r="K60" s="3" t="b">
        <f>IFERROR(RANK(표6[[#This Row],[결제금액]],표6[결제금액])/COUNT(표6[결제금액])&lt;=0.3,FALSE)</f>
        <v>0</v>
      </c>
    </row>
    <row r="61" spans="1:11" x14ac:dyDescent="0.3">
      <c r="A61" s="2">
        <v>60</v>
      </c>
      <c r="B61" s="2">
        <v>2</v>
      </c>
      <c r="C61" s="2" t="s">
        <v>952</v>
      </c>
      <c r="D61" s="3">
        <v>44794</v>
      </c>
      <c r="E61" s="3">
        <v>45159</v>
      </c>
      <c r="F61" s="3">
        <v>44794</v>
      </c>
      <c r="G61" s="3">
        <v>44794</v>
      </c>
      <c r="H61" s="2">
        <v>15000</v>
      </c>
      <c r="I61" s="2" t="s">
        <v>1415</v>
      </c>
      <c r="J61" s="3" t="b">
        <f ca="1">AND(표6[[#This Row],[상태]]="신청",NOW()&gt;표6[[#This Row],[신청일]]+5)</f>
        <v>0</v>
      </c>
      <c r="K61" s="3" t="b">
        <f>IFERROR(RANK(표6[[#This Row],[결제금액]],표6[결제금액])/COUNT(표6[결제금액])&lt;=0.3,FALSE)</f>
        <v>0</v>
      </c>
    </row>
    <row r="62" spans="1:11" x14ac:dyDescent="0.3">
      <c r="A62" s="2">
        <v>61</v>
      </c>
      <c r="B62" s="2">
        <v>24</v>
      </c>
      <c r="C62" s="2" t="s">
        <v>931</v>
      </c>
      <c r="D62" s="3">
        <v>44803</v>
      </c>
      <c r="E62" s="3">
        <v>45168</v>
      </c>
      <c r="F62" s="3">
        <v>44803</v>
      </c>
      <c r="G62" s="3">
        <v>44803</v>
      </c>
      <c r="H62" s="2">
        <v>920000</v>
      </c>
      <c r="I62" s="2" t="s">
        <v>1415</v>
      </c>
      <c r="J62" s="3" t="b">
        <f ca="1">AND(표6[[#This Row],[상태]]="신청",NOW()&gt;표6[[#This Row],[신청일]]+5)</f>
        <v>0</v>
      </c>
      <c r="K62" s="3" t="b">
        <f>IFERROR(RANK(표6[[#This Row],[결제금액]],표6[결제금액])/COUNT(표6[결제금액])&lt;=0.3,FALSE)</f>
        <v>1</v>
      </c>
    </row>
    <row r="63" spans="1:11" x14ac:dyDescent="0.3">
      <c r="A63" s="2">
        <v>62</v>
      </c>
      <c r="B63" s="2">
        <v>3</v>
      </c>
      <c r="C63" s="2" t="s">
        <v>934</v>
      </c>
      <c r="D63" s="3">
        <v>44773</v>
      </c>
      <c r="E63" s="3">
        <v>45868</v>
      </c>
      <c r="F63" s="3">
        <v>44773</v>
      </c>
      <c r="G63" s="3">
        <v>44773</v>
      </c>
      <c r="H63" s="2">
        <v>65000</v>
      </c>
      <c r="I63" s="2" t="s">
        <v>1415</v>
      </c>
      <c r="J63" s="3" t="b">
        <f ca="1">AND(표6[[#This Row],[상태]]="신청",NOW()&gt;표6[[#This Row],[신청일]]+5)</f>
        <v>0</v>
      </c>
      <c r="K63" s="3" t="b">
        <f>IFERROR(RANK(표6[[#This Row],[결제금액]],표6[결제금액])/COUNT(표6[결제금액])&lt;=0.3,FALSE)</f>
        <v>0</v>
      </c>
    </row>
    <row r="64" spans="1:11" x14ac:dyDescent="0.3">
      <c r="A64" s="2">
        <v>63</v>
      </c>
      <c r="B64" s="2">
        <v>26</v>
      </c>
      <c r="C64" s="2" t="s">
        <v>931</v>
      </c>
      <c r="D64" s="3">
        <v>44747</v>
      </c>
      <c r="E64" s="3">
        <v>45112</v>
      </c>
      <c r="F64" s="3">
        <v>44747</v>
      </c>
      <c r="G64" s="3">
        <v>44747</v>
      </c>
      <c r="H64" s="2">
        <v>920000</v>
      </c>
      <c r="I64" s="2" t="s">
        <v>1415</v>
      </c>
      <c r="J64" s="3" t="b">
        <f ca="1">AND(표6[[#This Row],[상태]]="신청",NOW()&gt;표6[[#This Row],[신청일]]+5)</f>
        <v>0</v>
      </c>
      <c r="K64" s="3" t="b">
        <f>IFERROR(RANK(표6[[#This Row],[결제금액]],표6[결제금액])/COUNT(표6[결제금액])&lt;=0.3,FALSE)</f>
        <v>1</v>
      </c>
    </row>
    <row r="65" spans="1:11" x14ac:dyDescent="0.3">
      <c r="A65" s="2">
        <v>64</v>
      </c>
      <c r="B65" s="2">
        <v>13</v>
      </c>
      <c r="C65" s="2" t="s">
        <v>967</v>
      </c>
      <c r="D65" s="3">
        <v>44786</v>
      </c>
      <c r="E65" s="3">
        <v>44846</v>
      </c>
      <c r="F65" s="3">
        <v>44786</v>
      </c>
      <c r="G65" s="3">
        <v>44786</v>
      </c>
      <c r="H65" s="2">
        <v>395000</v>
      </c>
      <c r="I65" s="2" t="s">
        <v>1415</v>
      </c>
      <c r="J65" s="3" t="b">
        <f ca="1">AND(표6[[#This Row],[상태]]="신청",NOW()&gt;표6[[#This Row],[신청일]]+5)</f>
        <v>0</v>
      </c>
      <c r="K65" s="3" t="b">
        <f>IFERROR(RANK(표6[[#This Row],[결제금액]],표6[결제금액])/COUNT(표6[결제금액])&lt;=0.3,FALSE)</f>
        <v>1</v>
      </c>
    </row>
    <row r="66" spans="1:11" x14ac:dyDescent="0.3">
      <c r="A66" s="2">
        <v>65</v>
      </c>
      <c r="B66" s="2">
        <v>30</v>
      </c>
      <c r="C66" s="2" t="s">
        <v>1000</v>
      </c>
      <c r="D66" s="3">
        <v>44754</v>
      </c>
      <c r="E66" s="3">
        <v>45119</v>
      </c>
      <c r="F66" s="3">
        <v>44754</v>
      </c>
      <c r="G66" s="3">
        <v>44754</v>
      </c>
      <c r="H66" s="2">
        <v>94000</v>
      </c>
      <c r="I66" s="2" t="s">
        <v>1415</v>
      </c>
      <c r="J66" s="3" t="b">
        <f ca="1">AND(표6[[#This Row],[상태]]="신청",NOW()&gt;표6[[#This Row],[신청일]]+5)</f>
        <v>0</v>
      </c>
      <c r="K66" s="3" t="b">
        <f>IFERROR(RANK(표6[[#This Row],[결제금액]],표6[결제금액])/COUNT(표6[결제금액])&lt;=0.3,FALSE)</f>
        <v>1</v>
      </c>
    </row>
    <row r="67" spans="1:11" x14ac:dyDescent="0.3">
      <c r="A67" s="2">
        <v>66</v>
      </c>
      <c r="B67" s="2">
        <v>19</v>
      </c>
      <c r="C67" s="2" t="s">
        <v>997</v>
      </c>
      <c r="D67" s="3">
        <v>44788</v>
      </c>
      <c r="E67" s="3">
        <v>44848</v>
      </c>
      <c r="F67" s="3">
        <v>44788</v>
      </c>
      <c r="G67" s="3">
        <v>44788</v>
      </c>
      <c r="H67" s="2">
        <v>700000</v>
      </c>
      <c r="I67" s="2" t="s">
        <v>1415</v>
      </c>
      <c r="J67" s="3" t="b">
        <f ca="1">AND(표6[[#This Row],[상태]]="신청",NOW()&gt;표6[[#This Row],[신청일]]+5)</f>
        <v>0</v>
      </c>
      <c r="K67" s="3" t="b">
        <f>IFERROR(RANK(표6[[#This Row],[결제금액]],표6[결제금액])/COUNT(표6[결제금액])&lt;=0.3,FALSE)</f>
        <v>1</v>
      </c>
    </row>
    <row r="68" spans="1:11" x14ac:dyDescent="0.3">
      <c r="A68" s="2">
        <v>67</v>
      </c>
      <c r="B68" s="2">
        <v>1</v>
      </c>
      <c r="C68" s="2" t="s">
        <v>973</v>
      </c>
      <c r="D68" s="3">
        <v>44789</v>
      </c>
      <c r="E68" s="3">
        <v>44804</v>
      </c>
      <c r="F68" s="3">
        <v>44789</v>
      </c>
      <c r="G68" s="3">
        <v>44789</v>
      </c>
      <c r="H68" s="2">
        <v>12000</v>
      </c>
      <c r="I68" s="2" t="s">
        <v>1415</v>
      </c>
      <c r="J68" s="3" t="b">
        <f ca="1">AND(표6[[#This Row],[상태]]="신청",NOW()&gt;표6[[#This Row],[신청일]]+5)</f>
        <v>0</v>
      </c>
      <c r="K68" s="3" t="b">
        <f>IFERROR(RANK(표6[[#This Row],[결제금액]],표6[결제금액])/COUNT(표6[결제금액])&lt;=0.3,FALSE)</f>
        <v>0</v>
      </c>
    </row>
    <row r="69" spans="1:11" x14ac:dyDescent="0.3">
      <c r="A69" s="2">
        <v>68</v>
      </c>
      <c r="B69" s="2">
        <v>7</v>
      </c>
      <c r="C69" s="2" t="s">
        <v>973</v>
      </c>
      <c r="D69" s="3">
        <v>44789</v>
      </c>
      <c r="E69" s="3">
        <v>44804</v>
      </c>
      <c r="F69" s="3">
        <v>44789</v>
      </c>
      <c r="G69" s="3">
        <v>44789</v>
      </c>
      <c r="H69" s="2">
        <v>12000</v>
      </c>
      <c r="I69" s="2" t="s">
        <v>1415</v>
      </c>
      <c r="J69" s="3" t="b">
        <f ca="1">AND(표6[[#This Row],[상태]]="신청",NOW()&gt;표6[[#This Row],[신청일]]+5)</f>
        <v>0</v>
      </c>
      <c r="K69" s="3" t="b">
        <f>IFERROR(RANK(표6[[#This Row],[결제금액]],표6[결제금액])/COUNT(표6[결제금액])&lt;=0.3,FALSE)</f>
        <v>0</v>
      </c>
    </row>
    <row r="70" spans="1:11" x14ac:dyDescent="0.3">
      <c r="A70" s="2">
        <v>69</v>
      </c>
      <c r="B70" s="2">
        <v>1</v>
      </c>
      <c r="C70" s="2" t="s">
        <v>994</v>
      </c>
      <c r="D70" s="3">
        <v>44788</v>
      </c>
      <c r="E70" s="3">
        <v>44808</v>
      </c>
      <c r="F70" s="3">
        <v>44788</v>
      </c>
      <c r="G70" s="3">
        <v>44788</v>
      </c>
      <c r="H70" s="2">
        <v>84000</v>
      </c>
      <c r="I70" s="2" t="s">
        <v>1415</v>
      </c>
      <c r="J70" s="3" t="b">
        <f ca="1">AND(표6[[#This Row],[상태]]="신청",NOW()&gt;표6[[#This Row],[신청일]]+5)</f>
        <v>0</v>
      </c>
      <c r="K70" s="3" t="b">
        <f>IFERROR(RANK(표6[[#This Row],[결제금액]],표6[결제금액])/COUNT(표6[결제금액])&lt;=0.3,FALSE)</f>
        <v>0</v>
      </c>
    </row>
    <row r="71" spans="1:11" x14ac:dyDescent="0.3">
      <c r="A71" s="2">
        <v>70</v>
      </c>
      <c r="B71" s="2">
        <v>4</v>
      </c>
      <c r="C71" s="2" t="s">
        <v>1000</v>
      </c>
      <c r="D71" s="3">
        <v>44770</v>
      </c>
      <c r="E71" s="3">
        <v>45135</v>
      </c>
      <c r="F71" s="3">
        <v>44770</v>
      </c>
      <c r="I71" s="2" t="s">
        <v>1416</v>
      </c>
      <c r="J71" s="3" t="b">
        <f ca="1">AND(표6[[#This Row],[상태]]="신청",NOW()&gt;표6[[#This Row],[신청일]]+5)</f>
        <v>0</v>
      </c>
      <c r="K71" s="3" t="b">
        <f>IFERROR(RANK(표6[[#This Row],[결제금액]],표6[결제금액])/COUNT(표6[결제금액])&lt;=0.3,FALSE)</f>
        <v>0</v>
      </c>
    </row>
    <row r="72" spans="1:11" x14ac:dyDescent="0.3">
      <c r="A72" s="2">
        <v>71</v>
      </c>
      <c r="B72" s="2">
        <v>20</v>
      </c>
      <c r="C72" s="2" t="s">
        <v>961</v>
      </c>
      <c r="D72" s="3">
        <v>44802</v>
      </c>
      <c r="E72" s="3">
        <v>44822</v>
      </c>
      <c r="F72" s="3">
        <v>44802</v>
      </c>
      <c r="G72" s="3">
        <v>44802</v>
      </c>
      <c r="H72" s="2">
        <v>98000</v>
      </c>
      <c r="I72" s="2" t="s">
        <v>1415</v>
      </c>
      <c r="J72" s="3" t="b">
        <f ca="1">AND(표6[[#This Row],[상태]]="신청",NOW()&gt;표6[[#This Row],[신청일]]+5)</f>
        <v>0</v>
      </c>
      <c r="K72" s="3" t="b">
        <f>IFERROR(RANK(표6[[#This Row],[결제금액]],표6[결제금액])/COUNT(표6[결제금액])&lt;=0.3,FALSE)</f>
        <v>1</v>
      </c>
    </row>
    <row r="73" spans="1:11" x14ac:dyDescent="0.3">
      <c r="A73" s="2">
        <v>72</v>
      </c>
      <c r="B73" s="2">
        <v>21</v>
      </c>
      <c r="C73" s="2" t="s">
        <v>958</v>
      </c>
      <c r="D73" s="3">
        <v>44758</v>
      </c>
      <c r="E73" s="3">
        <v>44818</v>
      </c>
      <c r="F73" s="3">
        <v>44758</v>
      </c>
      <c r="I73" s="2" t="s">
        <v>1416</v>
      </c>
      <c r="J73" s="3" t="b">
        <f ca="1">AND(표6[[#This Row],[상태]]="신청",NOW()&gt;표6[[#This Row],[신청일]]+5)</f>
        <v>1</v>
      </c>
      <c r="K73" s="3" t="b">
        <f>IFERROR(RANK(표6[[#This Row],[결제금액]],표6[결제금액])/COUNT(표6[결제금액])&lt;=0.3,FALSE)</f>
        <v>0</v>
      </c>
    </row>
    <row r="74" spans="1:11" x14ac:dyDescent="0.3">
      <c r="A74" s="2">
        <v>73</v>
      </c>
      <c r="B74" s="2">
        <v>1</v>
      </c>
      <c r="C74" s="2" t="s">
        <v>1015</v>
      </c>
      <c r="D74" s="3">
        <v>44802</v>
      </c>
      <c r="E74" s="3">
        <v>44817</v>
      </c>
      <c r="F74" s="3">
        <v>44802</v>
      </c>
      <c r="I74" s="2" t="s">
        <v>1416</v>
      </c>
      <c r="J74" s="3" t="b">
        <f ca="1">AND(표6[[#This Row],[상태]]="신청",NOW()&gt;표6[[#This Row],[신청일]]+5)</f>
        <v>0</v>
      </c>
      <c r="K74" s="3" t="b">
        <f>IFERROR(RANK(표6[[#This Row],[결제금액]],표6[결제금액])/COUNT(표6[결제금액])&lt;=0.3,FALSE)</f>
        <v>0</v>
      </c>
    </row>
    <row r="75" spans="1:11" x14ac:dyDescent="0.3">
      <c r="A75" s="2">
        <v>74</v>
      </c>
      <c r="B75" s="2">
        <v>1</v>
      </c>
      <c r="C75" s="2" t="s">
        <v>1012</v>
      </c>
      <c r="D75" s="3">
        <v>44797</v>
      </c>
      <c r="E75" s="3">
        <v>44817</v>
      </c>
      <c r="F75" s="3">
        <v>44797</v>
      </c>
      <c r="G75" s="3">
        <v>44797</v>
      </c>
      <c r="H75" s="2">
        <v>65000</v>
      </c>
      <c r="I75" s="2" t="s">
        <v>1415</v>
      </c>
      <c r="J75" s="3" t="b">
        <f ca="1">AND(표6[[#This Row],[상태]]="신청",NOW()&gt;표6[[#This Row],[신청일]]+5)</f>
        <v>0</v>
      </c>
      <c r="K75" s="3" t="b">
        <f>IFERROR(RANK(표6[[#This Row],[결제금액]],표6[결제금액])/COUNT(표6[결제금액])&lt;=0.3,FALSE)</f>
        <v>0</v>
      </c>
    </row>
    <row r="76" spans="1:11" x14ac:dyDescent="0.3">
      <c r="A76" s="2">
        <v>75</v>
      </c>
      <c r="B76" s="2">
        <v>25</v>
      </c>
      <c r="C76" s="2" t="s">
        <v>1012</v>
      </c>
      <c r="D76" s="3">
        <v>44794</v>
      </c>
      <c r="E76" s="3">
        <v>44814</v>
      </c>
      <c r="F76" s="3">
        <v>44794</v>
      </c>
      <c r="G76" s="3">
        <v>44794</v>
      </c>
      <c r="H76" s="2">
        <v>65000</v>
      </c>
      <c r="I76" s="2" t="s">
        <v>1415</v>
      </c>
      <c r="J76" s="3" t="b">
        <f ca="1">AND(표6[[#This Row],[상태]]="신청",NOW()&gt;표6[[#This Row],[신청일]]+5)</f>
        <v>0</v>
      </c>
      <c r="K76" s="3" t="b">
        <f>IFERROR(RANK(표6[[#This Row],[결제금액]],표6[결제금액])/COUNT(표6[결제금액])&lt;=0.3,FALSE)</f>
        <v>0</v>
      </c>
    </row>
    <row r="77" spans="1:11" x14ac:dyDescent="0.3">
      <c r="A77" s="2">
        <v>76</v>
      </c>
      <c r="B77" s="2">
        <v>6</v>
      </c>
      <c r="C77" s="2" t="s">
        <v>1018</v>
      </c>
      <c r="D77" s="3">
        <v>44751</v>
      </c>
      <c r="E77" s="3">
        <v>44779</v>
      </c>
      <c r="F77" s="3">
        <v>44751</v>
      </c>
      <c r="G77" s="3">
        <v>44751</v>
      </c>
      <c r="H77" s="2">
        <v>123000</v>
      </c>
      <c r="I77" s="2" t="s">
        <v>1417</v>
      </c>
      <c r="J77" s="3" t="b">
        <f ca="1">AND(표6[[#This Row],[상태]]="신청",NOW()&gt;표6[[#This Row],[신청일]]+5)</f>
        <v>0</v>
      </c>
      <c r="K77" s="3" t="b">
        <f>IFERROR(RANK(표6[[#This Row],[결제금액]],표6[결제금액])/COUNT(표6[결제금액])&lt;=0.3,FALSE)</f>
        <v>1</v>
      </c>
    </row>
    <row r="78" spans="1:11" x14ac:dyDescent="0.3">
      <c r="A78" s="2">
        <v>77</v>
      </c>
      <c r="B78" s="2">
        <v>10</v>
      </c>
      <c r="C78" s="2" t="s">
        <v>1009</v>
      </c>
      <c r="D78" s="3">
        <v>44751</v>
      </c>
      <c r="E78" s="3">
        <v>45116</v>
      </c>
      <c r="F78" s="3">
        <v>44751</v>
      </c>
      <c r="G78" s="3">
        <v>44751</v>
      </c>
      <c r="H78" s="2">
        <v>74000</v>
      </c>
      <c r="I78" s="2" t="s">
        <v>1415</v>
      </c>
      <c r="J78" s="3" t="b">
        <f ca="1">AND(표6[[#This Row],[상태]]="신청",NOW()&gt;표6[[#This Row],[신청일]]+5)</f>
        <v>0</v>
      </c>
      <c r="K78" s="3" t="b">
        <f>IFERROR(RANK(표6[[#This Row],[결제금액]],표6[결제금액])/COUNT(표6[결제금액])&lt;=0.3,FALSE)</f>
        <v>0</v>
      </c>
    </row>
    <row r="79" spans="1:11" x14ac:dyDescent="0.3">
      <c r="A79" s="2">
        <v>78</v>
      </c>
      <c r="B79" s="2">
        <v>2</v>
      </c>
      <c r="C79" s="2" t="s">
        <v>1036</v>
      </c>
      <c r="D79" s="3">
        <v>44801</v>
      </c>
      <c r="E79" s="3">
        <v>44921</v>
      </c>
      <c r="F79" s="3">
        <v>44801</v>
      </c>
      <c r="G79" s="3">
        <v>44772</v>
      </c>
      <c r="H79" s="2">
        <v>35000</v>
      </c>
      <c r="I79" s="2" t="s">
        <v>2574</v>
      </c>
      <c r="J79" s="3" t="b">
        <f ca="1">AND(표6[[#This Row],[상태]]="신청",NOW()&gt;표6[[#This Row],[신청일]]+5)</f>
        <v>0</v>
      </c>
      <c r="K79" s="3" t="b">
        <f>IFERROR(RANK(표6[[#This Row],[결제금액]],표6[결제금액])/COUNT(표6[결제금액])&lt;=0.3,FALSE)</f>
        <v>0</v>
      </c>
    </row>
    <row r="80" spans="1:11" x14ac:dyDescent="0.3">
      <c r="A80" s="2">
        <v>79</v>
      </c>
      <c r="B80" s="2">
        <v>20</v>
      </c>
      <c r="C80" s="2" t="s">
        <v>1090</v>
      </c>
      <c r="D80" s="3">
        <v>44801</v>
      </c>
      <c r="E80" s="3">
        <v>45531</v>
      </c>
      <c r="F80" s="3">
        <v>44801</v>
      </c>
      <c r="I80" s="2" t="s">
        <v>1416</v>
      </c>
      <c r="J80" s="3" t="b">
        <f ca="1">AND(표6[[#This Row],[상태]]="신청",NOW()&gt;표6[[#This Row],[신청일]]+5)</f>
        <v>0</v>
      </c>
      <c r="K80" s="3" t="b">
        <f>IFERROR(RANK(표6[[#This Row],[결제금액]],표6[결제금액])/COUNT(표6[결제금액])&lt;=0.3,FALSE)</f>
        <v>0</v>
      </c>
    </row>
    <row r="81" spans="1:11" x14ac:dyDescent="0.3">
      <c r="A81" s="2">
        <v>80</v>
      </c>
      <c r="B81" s="2">
        <v>24</v>
      </c>
      <c r="C81" s="2" t="s">
        <v>1090</v>
      </c>
      <c r="D81" s="3">
        <v>44748</v>
      </c>
      <c r="E81" s="3">
        <v>45478</v>
      </c>
      <c r="F81" s="3">
        <v>44748</v>
      </c>
      <c r="G81" s="3">
        <v>44748</v>
      </c>
      <c r="H81" s="2">
        <v>98000</v>
      </c>
      <c r="I81" s="2" t="s">
        <v>1415</v>
      </c>
      <c r="J81" s="3" t="b">
        <f ca="1">AND(표6[[#This Row],[상태]]="신청",NOW()&gt;표6[[#This Row],[신청일]]+5)</f>
        <v>0</v>
      </c>
      <c r="K81" s="3" t="b">
        <f>IFERROR(RANK(표6[[#This Row],[결제금액]],표6[결제금액])/COUNT(표6[결제금액])&lt;=0.3,FALSE)</f>
        <v>1</v>
      </c>
    </row>
    <row r="82" spans="1:11" x14ac:dyDescent="0.3">
      <c r="A82" s="2">
        <v>81</v>
      </c>
      <c r="B82" s="2">
        <v>2</v>
      </c>
      <c r="C82" s="2" t="s">
        <v>1072</v>
      </c>
      <c r="D82" s="3">
        <v>44768</v>
      </c>
      <c r="E82" s="3">
        <v>44828</v>
      </c>
      <c r="F82" s="3">
        <v>44768</v>
      </c>
      <c r="G82" s="3">
        <v>44772</v>
      </c>
      <c r="H82" s="2">
        <v>787000</v>
      </c>
      <c r="I82" s="2" t="s">
        <v>2574</v>
      </c>
      <c r="J82" s="3" t="b">
        <f ca="1">AND(표6[[#This Row],[상태]]="신청",NOW()&gt;표6[[#This Row],[신청일]]+5)</f>
        <v>0</v>
      </c>
      <c r="K82" s="3" t="b">
        <f>IFERROR(RANK(표6[[#This Row],[결제금액]],표6[결제금액])/COUNT(표6[결제금액])&lt;=0.3,FALSE)</f>
        <v>1</v>
      </c>
    </row>
    <row r="83" spans="1:11" x14ac:dyDescent="0.3">
      <c r="A83" s="2">
        <v>82</v>
      </c>
      <c r="B83" s="2">
        <v>1</v>
      </c>
      <c r="C83" s="2" t="s">
        <v>1048</v>
      </c>
      <c r="D83" s="3">
        <v>44776</v>
      </c>
      <c r="E83" s="3">
        <v>45871</v>
      </c>
      <c r="F83" s="3">
        <v>44776</v>
      </c>
      <c r="G83" s="3">
        <v>44776</v>
      </c>
      <c r="H83" s="2">
        <v>51000</v>
      </c>
      <c r="I83" s="2" t="s">
        <v>1415</v>
      </c>
      <c r="J83" s="3" t="b">
        <f ca="1">AND(표6[[#This Row],[상태]]="신청",NOW()&gt;표6[[#This Row],[신청일]]+5)</f>
        <v>0</v>
      </c>
      <c r="K83" s="3" t="b">
        <f>IFERROR(RANK(표6[[#This Row],[결제금액]],표6[결제금액])/COUNT(표6[결제금액])&lt;=0.3,FALSE)</f>
        <v>0</v>
      </c>
    </row>
    <row r="84" spans="1:11" x14ac:dyDescent="0.3">
      <c r="A84" s="2">
        <v>83</v>
      </c>
      <c r="B84" s="2">
        <v>7</v>
      </c>
      <c r="C84" s="2" t="s">
        <v>1087</v>
      </c>
      <c r="D84" s="3">
        <v>44737</v>
      </c>
      <c r="E84" s="3">
        <v>45102</v>
      </c>
      <c r="F84" s="3">
        <v>44737</v>
      </c>
      <c r="G84" s="3">
        <v>44737</v>
      </c>
      <c r="H84" s="2">
        <v>67000</v>
      </c>
      <c r="I84" s="2" t="s">
        <v>1415</v>
      </c>
      <c r="J84" s="3" t="b">
        <f ca="1">AND(표6[[#This Row],[상태]]="신청",NOW()&gt;표6[[#This Row],[신청일]]+5)</f>
        <v>0</v>
      </c>
      <c r="K84" s="3" t="b">
        <f>IFERROR(RANK(표6[[#This Row],[결제금액]],표6[결제금액])/COUNT(표6[결제금액])&lt;=0.3,FALSE)</f>
        <v>0</v>
      </c>
    </row>
    <row r="85" spans="1:11" x14ac:dyDescent="0.3">
      <c r="A85" s="2">
        <v>84</v>
      </c>
      <c r="B85" s="2">
        <v>4</v>
      </c>
      <c r="C85" s="2" t="s">
        <v>1060</v>
      </c>
      <c r="D85" s="3">
        <v>44797</v>
      </c>
      <c r="E85" s="3">
        <v>44817</v>
      </c>
      <c r="F85" s="3">
        <v>44797</v>
      </c>
      <c r="G85" s="3">
        <v>44797</v>
      </c>
      <c r="H85" s="2">
        <v>35000</v>
      </c>
      <c r="I85" s="2" t="s">
        <v>1415</v>
      </c>
      <c r="J85" s="3" t="b">
        <f ca="1">AND(표6[[#This Row],[상태]]="신청",NOW()&gt;표6[[#This Row],[신청일]]+5)</f>
        <v>0</v>
      </c>
      <c r="K85" s="3" t="b">
        <f>IFERROR(RANK(표6[[#This Row],[결제금액]],표6[결제금액])/COUNT(표6[결제금액])&lt;=0.3,FALSE)</f>
        <v>0</v>
      </c>
    </row>
    <row r="86" spans="1:11" x14ac:dyDescent="0.3">
      <c r="A86" s="2">
        <v>85</v>
      </c>
      <c r="B86" s="2">
        <v>30</v>
      </c>
      <c r="C86" s="2" t="s">
        <v>1066</v>
      </c>
      <c r="D86" s="3">
        <v>44802</v>
      </c>
      <c r="E86" s="3">
        <v>44832</v>
      </c>
      <c r="F86" s="3">
        <v>44802</v>
      </c>
      <c r="G86" s="3">
        <v>44802</v>
      </c>
      <c r="H86" s="2">
        <v>48000</v>
      </c>
      <c r="I86" s="2" t="s">
        <v>1415</v>
      </c>
      <c r="J86" s="3" t="b">
        <f ca="1">AND(표6[[#This Row],[상태]]="신청",NOW()&gt;표6[[#This Row],[신청일]]+5)</f>
        <v>0</v>
      </c>
      <c r="K86" s="3" t="b">
        <f>IFERROR(RANK(표6[[#This Row],[결제금액]],표6[결제금액])/COUNT(표6[결제금액])&lt;=0.3,FALSE)</f>
        <v>0</v>
      </c>
    </row>
    <row r="87" spans="1:11" x14ac:dyDescent="0.3">
      <c r="A87" s="2">
        <v>86</v>
      </c>
      <c r="B87" s="2">
        <v>18</v>
      </c>
      <c r="C87" s="2" t="s">
        <v>1114</v>
      </c>
      <c r="D87" s="3">
        <v>44592</v>
      </c>
      <c r="E87" s="3">
        <v>44607</v>
      </c>
      <c r="F87" s="3">
        <v>44592</v>
      </c>
      <c r="G87" s="3">
        <v>44592</v>
      </c>
      <c r="H87" s="2">
        <v>37000</v>
      </c>
      <c r="I87" s="2" t="s">
        <v>1417</v>
      </c>
      <c r="J87" s="3" t="b">
        <f ca="1">AND(표6[[#This Row],[상태]]="신청",NOW()&gt;표6[[#This Row],[신청일]]+5)</f>
        <v>0</v>
      </c>
      <c r="K87" s="3" t="b">
        <f>IFERROR(RANK(표6[[#This Row],[결제금액]],표6[결제금액])/COUNT(표6[결제금액])&lt;=0.3,FALSE)</f>
        <v>0</v>
      </c>
    </row>
    <row r="88" spans="1:11" x14ac:dyDescent="0.3">
      <c r="A88" s="2">
        <v>87</v>
      </c>
      <c r="B88" s="2">
        <v>27</v>
      </c>
      <c r="C88" s="2" t="s">
        <v>1093</v>
      </c>
      <c r="D88" s="3">
        <v>44697</v>
      </c>
      <c r="E88" s="3">
        <v>44757</v>
      </c>
      <c r="F88" s="3">
        <v>44697</v>
      </c>
      <c r="G88" s="3">
        <v>44697</v>
      </c>
      <c r="H88" s="2">
        <v>415000</v>
      </c>
      <c r="I88" s="2" t="s">
        <v>1417</v>
      </c>
      <c r="J88" s="3" t="b">
        <f ca="1">AND(표6[[#This Row],[상태]]="신청",NOW()&gt;표6[[#This Row],[신청일]]+5)</f>
        <v>0</v>
      </c>
      <c r="K88" s="3" t="b">
        <f>IFERROR(RANK(표6[[#This Row],[결제금액]],표6[결제금액])/COUNT(표6[결제금액])&lt;=0.3,FALSE)</f>
        <v>1</v>
      </c>
    </row>
    <row r="89" spans="1:11" x14ac:dyDescent="0.3">
      <c r="A89" s="2">
        <v>88</v>
      </c>
      <c r="B89" s="2">
        <v>20</v>
      </c>
      <c r="C89" s="2" t="s">
        <v>1093</v>
      </c>
      <c r="D89" s="3">
        <v>44788</v>
      </c>
      <c r="E89" s="3">
        <v>44848</v>
      </c>
      <c r="F89" s="3">
        <v>44788</v>
      </c>
      <c r="G89" s="3">
        <v>44788</v>
      </c>
      <c r="H89" s="2">
        <v>415000</v>
      </c>
      <c r="I89" s="2" t="s">
        <v>1415</v>
      </c>
      <c r="J89" s="3" t="b">
        <f ca="1">AND(표6[[#This Row],[상태]]="신청",NOW()&gt;표6[[#This Row],[신청일]]+5)</f>
        <v>0</v>
      </c>
      <c r="K89" s="3" t="b">
        <f>IFERROR(RANK(표6[[#This Row],[결제금액]],표6[결제금액])/COUNT(표6[결제금액])&lt;=0.3,FALSE)</f>
        <v>1</v>
      </c>
    </row>
    <row r="90" spans="1:11" x14ac:dyDescent="0.3">
      <c r="A90" s="2">
        <v>89</v>
      </c>
      <c r="B90" s="2">
        <v>7</v>
      </c>
      <c r="C90" s="2" t="s">
        <v>1147</v>
      </c>
      <c r="D90" s="3">
        <v>44792</v>
      </c>
      <c r="E90" s="3">
        <v>44812</v>
      </c>
      <c r="F90" s="3">
        <v>44792</v>
      </c>
      <c r="G90" s="3">
        <v>44792</v>
      </c>
      <c r="H90" s="2">
        <v>15000</v>
      </c>
      <c r="I90" s="2" t="s">
        <v>1415</v>
      </c>
      <c r="J90" s="3" t="b">
        <f ca="1">AND(표6[[#This Row],[상태]]="신청",NOW()&gt;표6[[#This Row],[신청일]]+5)</f>
        <v>0</v>
      </c>
      <c r="K90" s="3" t="b">
        <f>IFERROR(RANK(표6[[#This Row],[결제금액]],표6[결제금액])/COUNT(표6[결제금액])&lt;=0.3,FALSE)</f>
        <v>0</v>
      </c>
    </row>
    <row r="91" spans="1:11" x14ac:dyDescent="0.3">
      <c r="A91" s="2">
        <v>90</v>
      </c>
      <c r="B91" s="2">
        <v>29</v>
      </c>
      <c r="C91" s="2" t="s">
        <v>1153</v>
      </c>
      <c r="D91" s="3">
        <v>44667</v>
      </c>
      <c r="E91" s="3">
        <v>44727</v>
      </c>
      <c r="F91" s="3">
        <v>44667</v>
      </c>
      <c r="G91" s="3">
        <v>44667</v>
      </c>
      <c r="H91" s="2">
        <v>76000</v>
      </c>
      <c r="I91" s="2" t="s">
        <v>1417</v>
      </c>
      <c r="J91" s="3" t="b">
        <f ca="1">AND(표6[[#This Row],[상태]]="신청",NOW()&gt;표6[[#This Row],[신청일]]+5)</f>
        <v>0</v>
      </c>
      <c r="K91" s="3" t="b">
        <f>IFERROR(RANK(표6[[#This Row],[결제금액]],표6[결제금액])/COUNT(표6[결제금액])&lt;=0.3,FALSE)</f>
        <v>0</v>
      </c>
    </row>
    <row r="92" spans="1:11" x14ac:dyDescent="0.3">
      <c r="A92" s="2">
        <v>91</v>
      </c>
      <c r="B92" s="2">
        <v>18</v>
      </c>
      <c r="C92" s="2" t="s">
        <v>1213</v>
      </c>
      <c r="D92" s="3">
        <v>44803</v>
      </c>
      <c r="E92" s="3">
        <v>44823</v>
      </c>
      <c r="F92" s="3">
        <v>44803</v>
      </c>
      <c r="G92" s="3">
        <v>44803</v>
      </c>
      <c r="H92" s="2">
        <v>63000</v>
      </c>
      <c r="I92" s="2" t="s">
        <v>1415</v>
      </c>
      <c r="J92" s="3" t="b">
        <f ca="1">AND(표6[[#This Row],[상태]]="신청",NOW()&gt;표6[[#This Row],[신청일]]+5)</f>
        <v>0</v>
      </c>
      <c r="K92" s="3" t="b">
        <f>IFERROR(RANK(표6[[#This Row],[결제금액]],표6[결제금액])/COUNT(표6[결제금액])&lt;=0.3,FALSE)</f>
        <v>0</v>
      </c>
    </row>
    <row r="93" spans="1:11" x14ac:dyDescent="0.3">
      <c r="A93" s="2">
        <v>92</v>
      </c>
      <c r="B93" s="2">
        <v>2</v>
      </c>
      <c r="C93" s="2" t="s">
        <v>1258</v>
      </c>
      <c r="D93" s="3">
        <v>44758</v>
      </c>
      <c r="E93" s="3">
        <v>44765</v>
      </c>
      <c r="F93" s="3">
        <v>44758</v>
      </c>
      <c r="G93" s="3">
        <v>44758</v>
      </c>
      <c r="H93" s="2">
        <v>45000</v>
      </c>
      <c r="I93" s="2" t="s">
        <v>1417</v>
      </c>
      <c r="J93" s="3" t="b">
        <f ca="1">AND(표6[[#This Row],[상태]]="신청",NOW()&gt;표6[[#This Row],[신청일]]+5)</f>
        <v>0</v>
      </c>
      <c r="K93" s="3" t="b">
        <f>IFERROR(RANK(표6[[#This Row],[결제금액]],표6[결제금액])/COUNT(표6[결제금액])&lt;=0.3,FALSE)</f>
        <v>0</v>
      </c>
    </row>
    <row r="94" spans="1:11" x14ac:dyDescent="0.3">
      <c r="A94" s="2">
        <v>93</v>
      </c>
      <c r="B94" s="2">
        <v>27</v>
      </c>
      <c r="C94" s="2" t="s">
        <v>1294</v>
      </c>
      <c r="D94" s="3">
        <v>44718</v>
      </c>
      <c r="E94" s="3">
        <v>44778</v>
      </c>
      <c r="F94" s="3">
        <v>44718</v>
      </c>
      <c r="G94" s="3">
        <v>44718</v>
      </c>
      <c r="H94" s="2">
        <v>95000</v>
      </c>
      <c r="I94" s="2" t="s">
        <v>1417</v>
      </c>
      <c r="J94" s="3" t="b">
        <f ca="1">AND(표6[[#This Row],[상태]]="신청",NOW()&gt;표6[[#This Row],[신청일]]+5)</f>
        <v>0</v>
      </c>
      <c r="K94" s="3" t="b">
        <f>IFERROR(RANK(표6[[#This Row],[결제금액]],표6[결제금액])/COUNT(표6[결제금액])&lt;=0.3,FALSE)</f>
        <v>1</v>
      </c>
    </row>
    <row r="95" spans="1:11" x14ac:dyDescent="0.3">
      <c r="A95" s="2">
        <v>94</v>
      </c>
      <c r="B95" s="2">
        <v>1</v>
      </c>
      <c r="C95" s="2" t="s">
        <v>1306</v>
      </c>
      <c r="D95" s="3">
        <v>44802</v>
      </c>
      <c r="E95" s="3">
        <v>44832</v>
      </c>
      <c r="F95" s="3">
        <v>44802</v>
      </c>
      <c r="I95" s="2" t="s">
        <v>1416</v>
      </c>
      <c r="J95" s="3" t="b">
        <f ca="1">AND(표6[[#This Row],[상태]]="신청",NOW()&gt;표6[[#This Row],[신청일]]+5)</f>
        <v>0</v>
      </c>
      <c r="K95" s="3" t="b">
        <f>IFERROR(RANK(표6[[#This Row],[결제금액]],표6[결제금액])/COUNT(표6[결제금액])&lt;=0.3,FALSE)</f>
        <v>0</v>
      </c>
    </row>
    <row r="96" spans="1:11" x14ac:dyDescent="0.3">
      <c r="A96" s="2">
        <v>95</v>
      </c>
      <c r="B96" s="2">
        <v>2</v>
      </c>
      <c r="C96" s="2" t="s">
        <v>1309</v>
      </c>
      <c r="D96" s="3">
        <v>44779</v>
      </c>
      <c r="E96" s="3">
        <v>44800</v>
      </c>
      <c r="F96" s="3">
        <v>44779</v>
      </c>
      <c r="G96" s="3">
        <v>44779</v>
      </c>
      <c r="H96" s="2">
        <v>45000</v>
      </c>
      <c r="I96" s="2" t="s">
        <v>1417</v>
      </c>
      <c r="J96" s="3" t="b">
        <f ca="1">AND(표6[[#This Row],[상태]]="신청",NOW()&gt;표6[[#This Row],[신청일]]+5)</f>
        <v>0</v>
      </c>
      <c r="K96" s="3" t="b">
        <f>IFERROR(RANK(표6[[#This Row],[결제금액]],표6[결제금액])/COUNT(표6[결제금액])&lt;=0.3,FALSE)</f>
        <v>0</v>
      </c>
    </row>
    <row r="97" spans="1:11" x14ac:dyDescent="0.3">
      <c r="A97" s="2">
        <v>96</v>
      </c>
      <c r="B97" s="2">
        <v>2</v>
      </c>
      <c r="C97" s="2" t="s">
        <v>1315</v>
      </c>
      <c r="D97" s="3">
        <v>44787</v>
      </c>
      <c r="E97" s="3">
        <v>44817</v>
      </c>
      <c r="F97" s="3">
        <v>44787</v>
      </c>
      <c r="G97" s="3">
        <v>44787</v>
      </c>
      <c r="H97" s="2">
        <v>92000</v>
      </c>
      <c r="I97" s="2" t="s">
        <v>1415</v>
      </c>
      <c r="J97" s="3" t="b">
        <f ca="1">AND(표6[[#This Row],[상태]]="신청",NOW()&gt;표6[[#This Row],[신청일]]+5)</f>
        <v>0</v>
      </c>
      <c r="K97" s="3" t="b">
        <f>IFERROR(RANK(표6[[#This Row],[결제금액]],표6[결제금액])/COUNT(표6[결제금액])&lt;=0.3,FALSE)</f>
        <v>1</v>
      </c>
    </row>
    <row r="98" spans="1:11" x14ac:dyDescent="0.3">
      <c r="A98" s="2">
        <v>97</v>
      </c>
      <c r="B98" s="2">
        <v>21</v>
      </c>
      <c r="C98" s="2" t="s">
        <v>1327</v>
      </c>
      <c r="D98" s="3">
        <v>44771</v>
      </c>
      <c r="E98" s="3">
        <v>45136</v>
      </c>
      <c r="F98" s="3">
        <v>44771</v>
      </c>
      <c r="G98" s="3">
        <v>44771</v>
      </c>
      <c r="H98" s="2">
        <v>1500000</v>
      </c>
      <c r="I98" s="2" t="s">
        <v>1415</v>
      </c>
      <c r="J98" s="3" t="b">
        <f ca="1">AND(표6[[#This Row],[상태]]="신청",NOW()&gt;표6[[#This Row],[신청일]]+5)</f>
        <v>0</v>
      </c>
      <c r="K98" s="3" t="b">
        <f>IFERROR(RANK(표6[[#This Row],[결제금액]],표6[결제금액])/COUNT(표6[결제금액])&lt;=0.3,FALSE)</f>
        <v>1</v>
      </c>
    </row>
    <row r="99" spans="1:11" x14ac:dyDescent="0.3">
      <c r="A99" s="2">
        <v>98</v>
      </c>
      <c r="B99" s="2">
        <v>13</v>
      </c>
      <c r="C99" s="2" t="s">
        <v>1318</v>
      </c>
      <c r="D99" s="3">
        <v>44778</v>
      </c>
      <c r="E99" s="3">
        <v>44838</v>
      </c>
      <c r="F99" s="3">
        <v>44778</v>
      </c>
      <c r="G99" s="3">
        <v>44778</v>
      </c>
      <c r="H99" s="2">
        <v>150000</v>
      </c>
      <c r="I99" s="2" t="s">
        <v>1415</v>
      </c>
      <c r="J99" s="3" t="b">
        <f ca="1">AND(표6[[#This Row],[상태]]="신청",NOW()&gt;표6[[#This Row],[신청일]]+5)</f>
        <v>0</v>
      </c>
      <c r="K99" s="3" t="b">
        <f>IFERROR(RANK(표6[[#This Row],[결제금액]],표6[결제금액])/COUNT(표6[결제금액])&lt;=0.3,FALSE)</f>
        <v>1</v>
      </c>
    </row>
    <row r="100" spans="1:11" x14ac:dyDescent="0.3">
      <c r="A100" s="2">
        <v>99</v>
      </c>
      <c r="B100" s="2">
        <v>18</v>
      </c>
      <c r="C100" s="2" t="s">
        <v>1321</v>
      </c>
      <c r="D100" s="3">
        <v>44795</v>
      </c>
      <c r="E100" s="3">
        <v>44825</v>
      </c>
      <c r="F100" s="3">
        <v>44795</v>
      </c>
      <c r="G100" s="3">
        <v>44795</v>
      </c>
      <c r="H100" s="2">
        <v>35000</v>
      </c>
      <c r="I100" s="2" t="s">
        <v>1415</v>
      </c>
      <c r="J100" s="3" t="b">
        <f ca="1">AND(표6[[#This Row],[상태]]="신청",NOW()&gt;표6[[#This Row],[신청일]]+5)</f>
        <v>0</v>
      </c>
      <c r="K100" s="3" t="b">
        <f>IFERROR(RANK(표6[[#This Row],[결제금액]],표6[결제금액])/COUNT(표6[결제금액])&lt;=0.3,FALSE)</f>
        <v>0</v>
      </c>
    </row>
    <row r="101" spans="1:11" x14ac:dyDescent="0.3">
      <c r="A101" s="2">
        <v>100</v>
      </c>
      <c r="B101" s="2">
        <v>26</v>
      </c>
      <c r="C101" s="2" t="s">
        <v>1392</v>
      </c>
      <c r="D101" s="3">
        <v>44801</v>
      </c>
      <c r="E101" s="3">
        <v>44815</v>
      </c>
      <c r="F101" s="3">
        <v>44801</v>
      </c>
      <c r="G101" s="3">
        <v>44801</v>
      </c>
      <c r="H101" s="2">
        <v>73000</v>
      </c>
      <c r="I101" s="2" t="s">
        <v>1415</v>
      </c>
      <c r="J101" s="3" t="b">
        <f ca="1">AND(표6[[#This Row],[상태]]="신청",NOW()&gt;표6[[#This Row],[신청일]]+5)</f>
        <v>0</v>
      </c>
      <c r="K101" s="3" t="b">
        <f>IFERROR(RANK(표6[[#This Row],[결제금액]],표6[결제금액])/COUNT(표6[결제금액])&lt;=0.3,FALSE)</f>
        <v>0</v>
      </c>
    </row>
    <row r="102" spans="1:11" x14ac:dyDescent="0.3">
      <c r="D102" s="3"/>
      <c r="E102" s="3"/>
      <c r="F102" s="3"/>
      <c r="G102" s="3"/>
      <c r="J102" s="3"/>
      <c r="K102" s="3"/>
    </row>
  </sheetData>
  <phoneticPr fontId="1" type="noConversion"/>
  <conditionalFormatting sqref="A2:K101">
    <cfRule type="expression" dxfId="24" priority="1">
      <formula>$K2</formula>
    </cfRule>
    <cfRule type="expression" dxfId="23" priority="2">
      <formula>$J2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11</xdr:col>
                <xdr:colOff>114300</xdr:colOff>
                <xdr:row>0</xdr:row>
                <xdr:rowOff>66675</xdr:rowOff>
              </from>
              <to>
                <xdr:col>12</xdr:col>
                <xdr:colOff>647700</xdr:colOff>
                <xdr:row>2</xdr:row>
                <xdr:rowOff>85725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35"/>
  <sheetViews>
    <sheetView workbookViewId="0">
      <selection activeCell="K23" sqref="K23"/>
    </sheetView>
  </sheetViews>
  <sheetFormatPr defaultRowHeight="16.5" x14ac:dyDescent="0.3"/>
  <cols>
    <col min="1" max="1" width="5.25" style="2" bestFit="1" customWidth="1"/>
    <col min="2" max="3" width="9" style="2" bestFit="1" customWidth="1"/>
    <col min="4" max="4" width="11.125" style="2" bestFit="1" customWidth="1"/>
  </cols>
  <sheetData>
    <row r="1" spans="1:7" x14ac:dyDescent="0.3">
      <c r="A1" s="2" t="s">
        <v>0</v>
      </c>
      <c r="B1" s="2" t="s">
        <v>1407</v>
      </c>
      <c r="C1" s="2" t="s">
        <v>330</v>
      </c>
      <c r="D1" s="2" t="s">
        <v>1412</v>
      </c>
      <c r="G1" s="13" t="s">
        <v>1407</v>
      </c>
    </row>
    <row r="2" spans="1:7" x14ac:dyDescent="0.3">
      <c r="A2" s="2">
        <v>1</v>
      </c>
      <c r="B2" s="2">
        <v>1</v>
      </c>
      <c r="C2" s="2" t="s">
        <v>2515</v>
      </c>
      <c r="D2" s="3">
        <v>44773</v>
      </c>
      <c r="G2" s="13" t="str">
        <f>IF(AND(타입&lt;&gt;"강사", 타입&lt;&gt;""),번호,"")</f>
        <v/>
      </c>
    </row>
    <row r="3" spans="1:7" x14ac:dyDescent="0.3">
      <c r="A3" s="2">
        <v>2</v>
      </c>
      <c r="B3" s="2">
        <v>9</v>
      </c>
      <c r="C3" s="2" t="s">
        <v>1418</v>
      </c>
      <c r="D3" s="3">
        <v>44734</v>
      </c>
    </row>
    <row r="4" spans="1:7" x14ac:dyDescent="0.3">
      <c r="A4" s="2">
        <v>3</v>
      </c>
      <c r="B4" s="2">
        <v>7</v>
      </c>
      <c r="C4" s="2" t="s">
        <v>737</v>
      </c>
      <c r="D4" s="3">
        <v>44694</v>
      </c>
    </row>
    <row r="5" spans="1:7" x14ac:dyDescent="0.3">
      <c r="A5" s="2">
        <v>4</v>
      </c>
      <c r="B5" s="2">
        <v>1</v>
      </c>
      <c r="C5" s="2" t="s">
        <v>518</v>
      </c>
      <c r="D5" s="3">
        <v>44776</v>
      </c>
    </row>
    <row r="6" spans="1:7" x14ac:dyDescent="0.3">
      <c r="A6" s="2">
        <v>5</v>
      </c>
      <c r="B6" s="2">
        <v>1</v>
      </c>
      <c r="C6" s="2" t="s">
        <v>1419</v>
      </c>
      <c r="D6" s="3">
        <v>44772</v>
      </c>
    </row>
    <row r="7" spans="1:7" x14ac:dyDescent="0.3">
      <c r="A7" s="2">
        <v>6</v>
      </c>
      <c r="B7" s="2">
        <v>1</v>
      </c>
      <c r="C7" s="2" t="s">
        <v>1420</v>
      </c>
      <c r="D7" s="3">
        <v>44781</v>
      </c>
    </row>
    <row r="8" spans="1:7" x14ac:dyDescent="0.3">
      <c r="A8" s="2">
        <v>7</v>
      </c>
      <c r="B8" s="2">
        <v>11</v>
      </c>
      <c r="C8" s="2" t="s">
        <v>845</v>
      </c>
      <c r="D8" s="3">
        <v>44643</v>
      </c>
    </row>
    <row r="9" spans="1:7" x14ac:dyDescent="0.3">
      <c r="A9" s="2">
        <v>8</v>
      </c>
      <c r="B9" s="2">
        <v>4</v>
      </c>
      <c r="C9" s="2" t="s">
        <v>1421</v>
      </c>
      <c r="D9" s="3">
        <v>44564</v>
      </c>
    </row>
    <row r="10" spans="1:7" x14ac:dyDescent="0.3">
      <c r="A10" s="2">
        <v>9</v>
      </c>
      <c r="B10" s="2">
        <v>5</v>
      </c>
      <c r="C10" s="2" t="s">
        <v>971</v>
      </c>
      <c r="D10" s="3">
        <v>44724</v>
      </c>
    </row>
    <row r="11" spans="1:7" x14ac:dyDescent="0.3">
      <c r="A11" s="2">
        <v>10</v>
      </c>
      <c r="B11" s="2">
        <v>8</v>
      </c>
      <c r="C11" s="2" t="s">
        <v>1422</v>
      </c>
      <c r="D11" s="3">
        <v>44675</v>
      </c>
    </row>
    <row r="12" spans="1:7" x14ac:dyDescent="0.3">
      <c r="A12" s="2">
        <v>11</v>
      </c>
      <c r="B12" s="2">
        <v>1</v>
      </c>
      <c r="C12" s="2" t="s">
        <v>1423</v>
      </c>
      <c r="D12" s="3">
        <v>44801</v>
      </c>
    </row>
    <row r="13" spans="1:7" x14ac:dyDescent="0.3">
      <c r="A13" s="2">
        <v>12</v>
      </c>
      <c r="B13" s="2">
        <v>8</v>
      </c>
      <c r="C13" s="2" t="s">
        <v>1424</v>
      </c>
      <c r="D13" s="3">
        <v>44623</v>
      </c>
    </row>
    <row r="14" spans="1:7" x14ac:dyDescent="0.3">
      <c r="A14" s="2">
        <v>13</v>
      </c>
      <c r="B14" s="2">
        <v>4</v>
      </c>
      <c r="C14" s="2" t="s">
        <v>1334</v>
      </c>
      <c r="D14" s="3">
        <v>44686</v>
      </c>
    </row>
    <row r="15" spans="1:7" x14ac:dyDescent="0.3">
      <c r="A15" s="2">
        <v>14</v>
      </c>
      <c r="B15" s="2">
        <v>7</v>
      </c>
      <c r="C15" s="2" t="s">
        <v>1420</v>
      </c>
      <c r="D15" s="3">
        <v>44696</v>
      </c>
    </row>
    <row r="16" spans="1:7" x14ac:dyDescent="0.3">
      <c r="A16" s="2">
        <v>15</v>
      </c>
      <c r="B16" s="2">
        <v>1</v>
      </c>
      <c r="C16" s="2" t="s">
        <v>1425</v>
      </c>
      <c r="D16" s="3">
        <v>44779</v>
      </c>
    </row>
    <row r="17" spans="1:4" x14ac:dyDescent="0.3">
      <c r="A17" s="2">
        <v>16</v>
      </c>
      <c r="B17" s="2">
        <v>7</v>
      </c>
      <c r="C17" s="2" t="s">
        <v>1426</v>
      </c>
      <c r="D17" s="3">
        <v>44698</v>
      </c>
    </row>
    <row r="18" spans="1:4" x14ac:dyDescent="0.3">
      <c r="A18" s="2">
        <v>17</v>
      </c>
      <c r="B18" s="2">
        <v>16</v>
      </c>
      <c r="C18" s="2" t="s">
        <v>1427</v>
      </c>
      <c r="D18" s="3">
        <v>44786</v>
      </c>
    </row>
    <row r="19" spans="1:4" x14ac:dyDescent="0.3">
      <c r="A19" s="2">
        <v>18</v>
      </c>
      <c r="B19" s="2">
        <v>7</v>
      </c>
      <c r="C19" s="2" t="s">
        <v>1428</v>
      </c>
      <c r="D19" s="3">
        <v>44695</v>
      </c>
    </row>
    <row r="20" spans="1:4" x14ac:dyDescent="0.3">
      <c r="A20" s="2">
        <v>19</v>
      </c>
      <c r="B20" s="2">
        <v>2</v>
      </c>
      <c r="C20" s="2" t="s">
        <v>1427</v>
      </c>
      <c r="D20" s="3">
        <v>44803</v>
      </c>
    </row>
    <row r="21" spans="1:4" x14ac:dyDescent="0.3">
      <c r="A21" s="2">
        <v>20</v>
      </c>
      <c r="B21" s="2">
        <v>7</v>
      </c>
      <c r="C21" s="2" t="s">
        <v>341</v>
      </c>
      <c r="D21" s="3">
        <v>44724</v>
      </c>
    </row>
    <row r="22" spans="1:4" x14ac:dyDescent="0.3">
      <c r="A22" s="2">
        <v>21</v>
      </c>
      <c r="B22" s="2">
        <v>5</v>
      </c>
      <c r="C22" s="2" t="s">
        <v>1429</v>
      </c>
      <c r="D22" s="3">
        <v>44614</v>
      </c>
    </row>
    <row r="23" spans="1:4" x14ac:dyDescent="0.3">
      <c r="A23" s="2">
        <v>22</v>
      </c>
      <c r="B23" s="2">
        <v>5</v>
      </c>
      <c r="C23" s="2" t="s">
        <v>1430</v>
      </c>
      <c r="D23" s="3">
        <v>44616</v>
      </c>
    </row>
    <row r="24" spans="1:4" x14ac:dyDescent="0.3">
      <c r="A24" s="2">
        <v>23</v>
      </c>
      <c r="B24" s="2">
        <v>17</v>
      </c>
      <c r="C24" s="2" t="s">
        <v>1431</v>
      </c>
      <c r="D24" s="3">
        <v>44667</v>
      </c>
    </row>
    <row r="25" spans="1:4" x14ac:dyDescent="0.3">
      <c r="A25" s="2">
        <v>24</v>
      </c>
      <c r="B25" s="2">
        <v>3</v>
      </c>
      <c r="C25" s="2" t="s">
        <v>962</v>
      </c>
      <c r="D25" s="3">
        <v>44803</v>
      </c>
    </row>
    <row r="26" spans="1:4" x14ac:dyDescent="0.3">
      <c r="A26" s="2">
        <v>25</v>
      </c>
      <c r="B26" s="2">
        <v>9</v>
      </c>
      <c r="C26" s="2" t="s">
        <v>1419</v>
      </c>
      <c r="D26" s="3">
        <v>44734</v>
      </c>
    </row>
    <row r="27" spans="1:4" x14ac:dyDescent="0.3">
      <c r="A27" s="2">
        <v>26</v>
      </c>
      <c r="B27" s="2">
        <v>2</v>
      </c>
      <c r="C27" s="2" t="s">
        <v>845</v>
      </c>
      <c r="D27" s="3">
        <v>44803</v>
      </c>
    </row>
    <row r="28" spans="1:4" x14ac:dyDescent="0.3">
      <c r="A28" s="2">
        <v>27</v>
      </c>
      <c r="B28" s="2">
        <v>1</v>
      </c>
      <c r="C28" s="2" t="s">
        <v>1432</v>
      </c>
      <c r="D28" s="3">
        <v>44799</v>
      </c>
    </row>
    <row r="29" spans="1:4" x14ac:dyDescent="0.3">
      <c r="A29" s="2">
        <v>28</v>
      </c>
      <c r="B29" s="2">
        <v>5</v>
      </c>
      <c r="C29" s="2" t="s">
        <v>1433</v>
      </c>
      <c r="D29" s="3">
        <v>44615</v>
      </c>
    </row>
    <row r="30" spans="1:4" x14ac:dyDescent="0.3">
      <c r="A30" s="2">
        <v>29</v>
      </c>
      <c r="B30" s="2">
        <v>1</v>
      </c>
      <c r="C30" s="2" t="s">
        <v>1427</v>
      </c>
      <c r="D30" s="3">
        <v>44772</v>
      </c>
    </row>
    <row r="31" spans="1:4" x14ac:dyDescent="0.3">
      <c r="A31" s="2">
        <v>30</v>
      </c>
      <c r="B31" s="2">
        <v>22</v>
      </c>
      <c r="C31" s="2" t="s">
        <v>1434</v>
      </c>
      <c r="D31" s="3">
        <v>44730</v>
      </c>
    </row>
    <row r="32" spans="1:4" x14ac:dyDescent="0.3">
      <c r="A32" s="2">
        <v>31</v>
      </c>
      <c r="B32" s="2">
        <v>20</v>
      </c>
      <c r="C32" s="2" t="s">
        <v>1435</v>
      </c>
      <c r="D32" s="3">
        <v>44612</v>
      </c>
    </row>
    <row r="33" spans="1:4" x14ac:dyDescent="0.3">
      <c r="A33" s="2">
        <v>32</v>
      </c>
      <c r="B33" s="2">
        <v>16</v>
      </c>
      <c r="C33" s="2" t="s">
        <v>1436</v>
      </c>
      <c r="D33" s="3">
        <v>44792</v>
      </c>
    </row>
    <row r="34" spans="1:4" x14ac:dyDescent="0.3">
      <c r="A34" s="2">
        <v>33</v>
      </c>
      <c r="B34" s="2">
        <v>5</v>
      </c>
      <c r="C34" s="2" t="s">
        <v>1422</v>
      </c>
      <c r="D34" s="3">
        <v>44613</v>
      </c>
    </row>
    <row r="35" spans="1:4" x14ac:dyDescent="0.3">
      <c r="D35" s="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autoLine="0" r:id="rId4">
            <anchor moveWithCells="1">
              <from>
                <xdr:col>4</xdr:col>
                <xdr:colOff>85725</xdr:colOff>
                <xdr:row>0</xdr:row>
                <xdr:rowOff>28575</xdr:rowOff>
              </from>
              <to>
                <xdr:col>5</xdr:col>
                <xdr:colOff>619125</xdr:colOff>
                <xdr:row>2</xdr:row>
                <xdr:rowOff>47625</xdr:rowOff>
              </to>
            </anchor>
          </controlPr>
        </control>
      </mc:Choice>
      <mc:Fallback>
        <control shapeId="11265" r:id="rId3" name="CommandButton1"/>
      </mc:Fallback>
    </mc:AlternateContent>
  </controls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34"/>
  <sheetViews>
    <sheetView zoomScale="70" zoomScaleNormal="70" workbookViewId="0">
      <selection activeCell="K27" sqref="K27"/>
    </sheetView>
  </sheetViews>
  <sheetFormatPr defaultRowHeight="16.5" x14ac:dyDescent="0.3"/>
  <cols>
    <col min="1" max="1" width="11.75" bestFit="1" customWidth="1"/>
    <col min="2" max="2" width="8.5" customWidth="1"/>
    <col min="3" max="6" width="6.25" customWidth="1"/>
    <col min="7" max="9" width="7.5" customWidth="1"/>
    <col min="10" max="11" width="11.75" bestFit="1" customWidth="1"/>
    <col min="12" max="12" width="10" customWidth="1"/>
    <col min="13" max="13" width="10" bestFit="1" customWidth="1"/>
    <col min="14" max="15" width="11.75" customWidth="1"/>
    <col min="16" max="19" width="7.75" customWidth="1"/>
    <col min="27" max="27" width="10" bestFit="1" customWidth="1"/>
    <col min="28" max="28" width="11.625" bestFit="1" customWidth="1"/>
    <col min="29" max="29" width="7.125" bestFit="1" customWidth="1"/>
    <col min="31" max="31" width="7.125" bestFit="1" customWidth="1"/>
    <col min="32" max="32" width="11.625" bestFit="1" customWidth="1"/>
    <col min="36" max="37" width="5.25" bestFit="1" customWidth="1"/>
  </cols>
  <sheetData>
    <row r="1" spans="1:40" x14ac:dyDescent="0.3">
      <c r="B1" t="str">
        <f>IFERROR(VLOOKUP(번호,표2[],COLUMN(),FALSE),IFERROR(VLOOKUP(번호,표1[],COLUMN(),FALSE),""))</f>
        <v/>
      </c>
      <c r="C1" t="str">
        <f>IFERROR(VLOOKUP(번호,표2[],COLUMN(),FALSE),IFERROR(VLOOKUP(번호,표1[],COLUMN(),FALSE),""))</f>
        <v/>
      </c>
      <c r="D1" t="str">
        <f>IFERROR(VLOOKUP(번호,표2[],COLUMN(),FALSE),IFERROR(VLOOKUP(번호,표1[],COLUMN(),FALSE),""))</f>
        <v/>
      </c>
      <c r="E1" t="str">
        <f>IFERROR(VLOOKUP(번호,표2[],COLUMN(),FALSE),IFERROR(VLOOKUP(번호,표1[],COLUMN(),FALSE),""))</f>
        <v/>
      </c>
      <c r="F1" t="str">
        <f>IFERROR(VLOOKUP(번호,표2[],COLUMN(),FALSE),IFERROR(VLOOKUP(번호,표1[],COLUMN(),FALSE),""))</f>
        <v/>
      </c>
      <c r="G1" t="str">
        <f>IFERROR(VLOOKUP(번호,표2[],COLUMN(),FALSE),IFERROR(VLOOKUP(번호,표1[],COLUMN(),FALSE),""))</f>
        <v/>
      </c>
      <c r="H1" t="str">
        <f>IFERROR(VLOOKUP(번호,표2[],COLUMN(),FALSE),IFERROR(VLOOKUP(번호,표1[],COLUMN(),FALSE),""))</f>
        <v/>
      </c>
      <c r="I1" t="str">
        <f>IFERROR(VLOOKUP(번호,표2[],COLUMN(),FALSE),IFERROR(VLOOKUP(번호,표1[],COLUMN(),FALSE),""))</f>
        <v/>
      </c>
      <c r="J1" t="str">
        <f>IFERROR(VLOOKUP(번호,표2[],COLUMN(),FALSE),IFERROR(VLOOKUP(번호,표1[],COLUMN(),FALSE),""))</f>
        <v/>
      </c>
      <c r="K1" t="str">
        <f>IFERROR(VLOOKUP(번호,표2[],COLUMN(),FALSE),IFERROR(VLOOKUP(번호,표1[],COLUMN(),FALSE),""))</f>
        <v/>
      </c>
      <c r="L1" t="str">
        <f>IFERROR(VLOOKUP(번호,표2[],COLUMN(),FALSE),IFERROR(VLOOKUP(번호,표1[],COLUMN(),FALSE),""))</f>
        <v/>
      </c>
      <c r="M1" t="str">
        <f>IFERROR(VLOOKUP(번호,표2[],COLUMN(),FALSE),IFERROR(VLOOKUP(번호,표1[],COLUMN(),FALSE),""))</f>
        <v/>
      </c>
      <c r="O1" t="s">
        <v>2521</v>
      </c>
      <c r="P1" t="s">
        <v>2522</v>
      </c>
      <c r="Q1" s="10" t="s">
        <v>2520</v>
      </c>
      <c r="R1" t="s">
        <v>2519</v>
      </c>
      <c r="S1" t="s">
        <v>2518</v>
      </c>
      <c r="T1" t="s">
        <v>2517</v>
      </c>
      <c r="U1" t="s">
        <v>2523</v>
      </c>
      <c r="V1">
        <f>COUNTA(O1:O4)</f>
        <v>4</v>
      </c>
      <c r="Z1" s="2" t="s">
        <v>2510</v>
      </c>
      <c r="AA1" s="2" t="s">
        <v>2465</v>
      </c>
      <c r="AB1" s="2" t="s">
        <v>2465</v>
      </c>
      <c r="AC1" s="2" t="s">
        <v>2465</v>
      </c>
      <c r="AD1" s="2" t="s">
        <v>2465</v>
      </c>
      <c r="AE1" s="2" t="s">
        <v>2465</v>
      </c>
      <c r="AF1" s="2" t="s">
        <v>2465</v>
      </c>
      <c r="AG1" s="2" t="s">
        <v>2465</v>
      </c>
      <c r="AH1" s="2" t="s">
        <v>2465</v>
      </c>
      <c r="AI1" s="2" t="s">
        <v>2465</v>
      </c>
      <c r="AJ1" s="2" t="s">
        <v>2465</v>
      </c>
      <c r="AL1" t="s">
        <v>2575</v>
      </c>
      <c r="AM1" s="2" t="s">
        <v>2573</v>
      </c>
      <c r="AN1">
        <v>22</v>
      </c>
    </row>
    <row r="2" spans="1:40" x14ac:dyDescent="0.3">
      <c r="A2" t="str">
        <f>IF(AND(번호&lt;&gt;"",자료처리!H1=""),"강사",IF(AND(번호&lt;&gt;"",자료처리!H1&lt;&gt;""),"학생",""))</f>
        <v/>
      </c>
      <c r="O2" t="s">
        <v>2528</v>
      </c>
      <c r="P2" t="s">
        <v>2529</v>
      </c>
      <c r="Q2">
        <v>4</v>
      </c>
      <c r="R2">
        <v>4</v>
      </c>
      <c r="S2">
        <v>0</v>
      </c>
      <c r="T2">
        <v>3</v>
      </c>
      <c r="U2">
        <v>11</v>
      </c>
      <c r="Z2" s="2" t="s">
        <v>2499</v>
      </c>
      <c r="AA2" s="2" t="s">
        <v>2466</v>
      </c>
      <c r="AB2" s="2" t="s">
        <v>2474</v>
      </c>
      <c r="AC2" s="2" t="s">
        <v>2478</v>
      </c>
      <c r="AD2" s="2" t="s">
        <v>2481</v>
      </c>
      <c r="AE2" s="2" t="s">
        <v>2484</v>
      </c>
      <c r="AF2" s="2" t="s">
        <v>2486</v>
      </c>
      <c r="AG2" s="2" t="s">
        <v>2489</v>
      </c>
      <c r="AH2" s="2" t="s">
        <v>2492</v>
      </c>
      <c r="AI2" s="2" t="s">
        <v>2495</v>
      </c>
      <c r="AJ2" s="2"/>
    </row>
    <row r="3" spans="1:40" x14ac:dyDescent="0.3">
      <c r="O3" t="s">
        <v>2532</v>
      </c>
      <c r="P3" t="s">
        <v>2533</v>
      </c>
      <c r="Q3">
        <v>2</v>
      </c>
      <c r="R3">
        <v>5</v>
      </c>
      <c r="S3">
        <v>2</v>
      </c>
      <c r="T3">
        <v>0</v>
      </c>
      <c r="U3">
        <v>9</v>
      </c>
      <c r="Z3" s="2" t="s">
        <v>2501</v>
      </c>
      <c r="AA3" s="2" t="s">
        <v>2467</v>
      </c>
      <c r="AB3" s="2" t="s">
        <v>2475</v>
      </c>
      <c r="AC3" s="2" t="s">
        <v>2479</v>
      </c>
      <c r="AD3" s="2" t="s">
        <v>2482</v>
      </c>
      <c r="AE3" s="2" t="s">
        <v>2485</v>
      </c>
      <c r="AF3" s="2" t="s">
        <v>2487</v>
      </c>
      <c r="AG3" s="2" t="s">
        <v>2490</v>
      </c>
      <c r="AH3" s="2" t="s">
        <v>2493</v>
      </c>
      <c r="AI3" s="2" t="s">
        <v>2496</v>
      </c>
      <c r="AJ3" s="2"/>
    </row>
    <row r="4" spans="1:40" x14ac:dyDescent="0.3">
      <c r="A4" s="4" t="s">
        <v>7</v>
      </c>
      <c r="B4" t="s" vm="1">
        <v>2511</v>
      </c>
      <c r="O4" t="s">
        <v>2548</v>
      </c>
      <c r="P4" t="s">
        <v>2549</v>
      </c>
      <c r="Q4">
        <v>1</v>
      </c>
      <c r="R4">
        <v>4</v>
      </c>
      <c r="S4">
        <v>2</v>
      </c>
      <c r="T4">
        <v>0</v>
      </c>
      <c r="U4">
        <v>7</v>
      </c>
      <c r="Z4" s="2" t="s">
        <v>2503</v>
      </c>
      <c r="AA4" s="2" t="s">
        <v>2468</v>
      </c>
      <c r="AB4" s="2" t="s">
        <v>2476</v>
      </c>
      <c r="AC4" s="2" t="s">
        <v>2480</v>
      </c>
      <c r="AD4" s="2" t="s">
        <v>2483</v>
      </c>
      <c r="AE4" s="2"/>
      <c r="AF4" s="2" t="s">
        <v>2488</v>
      </c>
      <c r="AG4" s="2" t="s">
        <v>2491</v>
      </c>
      <c r="AH4" s="2" t="s">
        <v>2494</v>
      </c>
      <c r="AI4" s="2" t="s">
        <v>2497</v>
      </c>
      <c r="AJ4" s="2"/>
    </row>
    <row r="5" spans="1:40" x14ac:dyDescent="0.3">
      <c r="A5" s="4" t="s">
        <v>2464</v>
      </c>
      <c r="B5" t="s" vm="2">
        <v>2511</v>
      </c>
      <c r="O5" t="s">
        <v>2558</v>
      </c>
      <c r="P5" t="s">
        <v>2559</v>
      </c>
      <c r="Q5">
        <v>4</v>
      </c>
      <c r="R5">
        <v>2</v>
      </c>
      <c r="S5">
        <v>1</v>
      </c>
      <c r="T5">
        <v>0</v>
      </c>
      <c r="U5">
        <v>7</v>
      </c>
      <c r="Z5" s="2" t="s">
        <v>2505</v>
      </c>
      <c r="AA5" s="2" t="s">
        <v>2469</v>
      </c>
      <c r="AB5" s="2" t="s">
        <v>2477</v>
      </c>
      <c r="AC5" s="2"/>
      <c r="AD5" s="2"/>
      <c r="AE5" s="2"/>
      <c r="AF5" s="2"/>
      <c r="AG5" s="2"/>
      <c r="AH5" s="2"/>
      <c r="AI5" s="2"/>
      <c r="AJ5" s="2"/>
    </row>
    <row r="6" spans="1:40" x14ac:dyDescent="0.3">
      <c r="O6" t="s">
        <v>2530</v>
      </c>
      <c r="P6" t="s">
        <v>2531</v>
      </c>
      <c r="Q6">
        <v>1</v>
      </c>
      <c r="R6">
        <v>3</v>
      </c>
      <c r="S6">
        <v>2</v>
      </c>
      <c r="T6">
        <v>0</v>
      </c>
      <c r="U6">
        <v>6</v>
      </c>
      <c r="Z6" s="2" t="s">
        <v>2506</v>
      </c>
      <c r="AA6" s="2" t="s">
        <v>2470</v>
      </c>
      <c r="AB6" s="2"/>
      <c r="AC6" s="2"/>
      <c r="AD6" s="2"/>
      <c r="AE6" s="2"/>
      <c r="AF6" s="2"/>
      <c r="AG6" s="2"/>
      <c r="AH6" s="2"/>
      <c r="AI6" s="2"/>
      <c r="AJ6" s="2"/>
    </row>
    <row r="7" spans="1:40" x14ac:dyDescent="0.3">
      <c r="A7" s="4" t="s">
        <v>2512</v>
      </c>
      <c r="C7" s="4" t="s">
        <v>2504</v>
      </c>
      <c r="D7" s="4" t="s">
        <v>2502</v>
      </c>
      <c r="E7" s="4" t="s">
        <v>2500</v>
      </c>
      <c r="F7" s="4" t="s">
        <v>2498</v>
      </c>
      <c r="O7" t="s">
        <v>2540</v>
      </c>
      <c r="P7" t="s">
        <v>2541</v>
      </c>
      <c r="Q7">
        <v>4</v>
      </c>
      <c r="R7">
        <v>2</v>
      </c>
      <c r="S7">
        <v>0</v>
      </c>
      <c r="T7">
        <v>0</v>
      </c>
      <c r="U7">
        <v>6</v>
      </c>
      <c r="Z7" s="2" t="s">
        <v>2507</v>
      </c>
      <c r="AA7" s="2" t="s">
        <v>2471</v>
      </c>
      <c r="AB7" s="2"/>
      <c r="AC7" s="2"/>
      <c r="AD7" s="2"/>
      <c r="AE7" s="2"/>
      <c r="AF7" s="2"/>
      <c r="AG7" s="2"/>
      <c r="AH7" s="2"/>
      <c r="AI7" s="2"/>
      <c r="AJ7" s="2"/>
    </row>
    <row r="8" spans="1:40" x14ac:dyDescent="0.3">
      <c r="C8">
        <v>0</v>
      </c>
      <c r="F8">
        <v>1</v>
      </c>
      <c r="G8" t="s">
        <v>2463</v>
      </c>
      <c r="O8" t="s">
        <v>2524</v>
      </c>
      <c r="P8" t="s">
        <v>2525</v>
      </c>
      <c r="Q8">
        <v>2</v>
      </c>
      <c r="R8">
        <v>0</v>
      </c>
      <c r="S8">
        <v>3</v>
      </c>
      <c r="T8">
        <v>0</v>
      </c>
      <c r="U8">
        <v>5</v>
      </c>
      <c r="Z8" s="2" t="s">
        <v>2508</v>
      </c>
      <c r="AA8" s="2" t="s">
        <v>2472</v>
      </c>
      <c r="AB8" s="2"/>
      <c r="AC8" s="2"/>
      <c r="AD8" s="2"/>
      <c r="AE8" s="2"/>
      <c r="AF8" s="2"/>
      <c r="AG8" s="2"/>
      <c r="AH8" s="2"/>
      <c r="AI8" s="2"/>
      <c r="AJ8" s="2"/>
    </row>
    <row r="9" spans="1:40" x14ac:dyDescent="0.3">
      <c r="C9">
        <v>0</v>
      </c>
      <c r="E9">
        <v>1</v>
      </c>
      <c r="F9">
        <v>0</v>
      </c>
      <c r="O9" t="s">
        <v>2536</v>
      </c>
      <c r="P9" t="s">
        <v>2537</v>
      </c>
      <c r="Q9">
        <v>2</v>
      </c>
      <c r="R9">
        <v>1</v>
      </c>
      <c r="S9">
        <v>2</v>
      </c>
      <c r="T9">
        <v>0</v>
      </c>
      <c r="U9">
        <v>5</v>
      </c>
      <c r="Z9" s="2" t="s">
        <v>2509</v>
      </c>
      <c r="AA9" s="2" t="s">
        <v>2473</v>
      </c>
      <c r="AB9" s="2"/>
      <c r="AC9" s="2"/>
      <c r="AD9" s="2"/>
      <c r="AE9" s="2"/>
      <c r="AF9" s="2"/>
      <c r="AG9" s="2"/>
      <c r="AH9" s="2"/>
      <c r="AI9" s="2"/>
      <c r="AJ9" s="2"/>
    </row>
    <row r="10" spans="1:40" x14ac:dyDescent="0.3">
      <c r="C10">
        <v>0</v>
      </c>
      <c r="D10">
        <v>1</v>
      </c>
      <c r="E10">
        <v>0</v>
      </c>
      <c r="F10">
        <v>0</v>
      </c>
      <c r="O10" t="s">
        <v>2554</v>
      </c>
      <c r="P10" t="s">
        <v>2555</v>
      </c>
      <c r="Q10">
        <v>1</v>
      </c>
      <c r="R10">
        <v>4</v>
      </c>
      <c r="S10">
        <v>0</v>
      </c>
      <c r="T10">
        <v>0</v>
      </c>
      <c r="U10">
        <v>5</v>
      </c>
    </row>
    <row r="11" spans="1:40" x14ac:dyDescent="0.3">
      <c r="A11" s="4" t="s">
        <v>0</v>
      </c>
      <c r="B11" s="4" t="s">
        <v>1</v>
      </c>
      <c r="C11">
        <v>1</v>
      </c>
      <c r="D11">
        <v>0</v>
      </c>
      <c r="E11">
        <v>0</v>
      </c>
      <c r="F11">
        <v>0</v>
      </c>
      <c r="O11" t="s">
        <v>2566</v>
      </c>
      <c r="P11" t="s">
        <v>2567</v>
      </c>
      <c r="Q11">
        <v>3</v>
      </c>
      <c r="R11">
        <v>2</v>
      </c>
      <c r="S11">
        <v>0</v>
      </c>
      <c r="T11">
        <v>0</v>
      </c>
      <c r="U11">
        <v>5</v>
      </c>
    </row>
    <row r="12" spans="1:40" x14ac:dyDescent="0.3">
      <c r="A12" t="s">
        <v>175</v>
      </c>
      <c r="B12" t="s">
        <v>176</v>
      </c>
      <c r="C12" s="6">
        <v>2</v>
      </c>
      <c r="D12" s="6">
        <v>0</v>
      </c>
      <c r="E12" s="6">
        <v>3</v>
      </c>
      <c r="F12" s="6">
        <v>0</v>
      </c>
      <c r="G12" s="6">
        <v>5</v>
      </c>
      <c r="O12" t="s">
        <v>2544</v>
      </c>
      <c r="P12" t="s">
        <v>2545</v>
      </c>
      <c r="Q12">
        <v>3</v>
      </c>
      <c r="R12">
        <v>1</v>
      </c>
      <c r="S12">
        <v>0</v>
      </c>
      <c r="T12">
        <v>0</v>
      </c>
      <c r="U12">
        <v>4</v>
      </c>
    </row>
    <row r="13" spans="1:40" x14ac:dyDescent="0.3">
      <c r="A13" t="s">
        <v>181</v>
      </c>
      <c r="B13" t="s">
        <v>182</v>
      </c>
      <c r="C13" s="6">
        <v>0</v>
      </c>
      <c r="D13" s="6">
        <v>0</v>
      </c>
      <c r="E13" s="6">
        <v>2</v>
      </c>
      <c r="F13" s="6">
        <v>0</v>
      </c>
      <c r="G13" s="6">
        <v>2</v>
      </c>
      <c r="O13" t="s">
        <v>2550</v>
      </c>
      <c r="P13" t="s">
        <v>2551</v>
      </c>
      <c r="Q13">
        <v>1</v>
      </c>
      <c r="R13">
        <v>0</v>
      </c>
      <c r="S13">
        <v>3</v>
      </c>
      <c r="T13">
        <v>0</v>
      </c>
      <c r="U13">
        <v>4</v>
      </c>
      <c r="W13" s="2"/>
    </row>
    <row r="14" spans="1:40" x14ac:dyDescent="0.3">
      <c r="A14" t="s">
        <v>187</v>
      </c>
      <c r="B14" t="s">
        <v>188</v>
      </c>
      <c r="C14" s="6">
        <v>4</v>
      </c>
      <c r="D14" s="6">
        <v>4</v>
      </c>
      <c r="E14" s="6">
        <v>0</v>
      </c>
      <c r="F14" s="6">
        <v>3</v>
      </c>
      <c r="G14" s="6">
        <v>11</v>
      </c>
      <c r="O14" t="s">
        <v>2552</v>
      </c>
      <c r="P14" t="s">
        <v>2553</v>
      </c>
      <c r="Q14">
        <v>0</v>
      </c>
      <c r="R14">
        <v>0</v>
      </c>
      <c r="S14">
        <v>4</v>
      </c>
      <c r="T14">
        <v>0</v>
      </c>
      <c r="U14">
        <v>4</v>
      </c>
      <c r="W14" s="2"/>
    </row>
    <row r="15" spans="1:40" x14ac:dyDescent="0.3">
      <c r="A15" t="s">
        <v>193</v>
      </c>
      <c r="B15" t="s">
        <v>194</v>
      </c>
      <c r="C15" s="6">
        <v>1</v>
      </c>
      <c r="D15" s="6">
        <v>3</v>
      </c>
      <c r="E15" s="6">
        <v>2</v>
      </c>
      <c r="F15" s="6">
        <v>0</v>
      </c>
      <c r="G15" s="6">
        <v>6</v>
      </c>
      <c r="O15" t="s">
        <v>2556</v>
      </c>
      <c r="P15" t="s">
        <v>2557</v>
      </c>
      <c r="Q15">
        <v>1</v>
      </c>
      <c r="R15">
        <v>1</v>
      </c>
      <c r="S15">
        <v>2</v>
      </c>
      <c r="T15">
        <v>0</v>
      </c>
      <c r="U15">
        <v>4</v>
      </c>
      <c r="W15" s="2"/>
      <c r="AL15" s="2"/>
    </row>
    <row r="16" spans="1:40" x14ac:dyDescent="0.3">
      <c r="A16" t="s">
        <v>199</v>
      </c>
      <c r="B16" t="s">
        <v>200</v>
      </c>
      <c r="C16" s="6">
        <v>2</v>
      </c>
      <c r="D16" s="6">
        <v>5</v>
      </c>
      <c r="E16" s="6">
        <v>2</v>
      </c>
      <c r="F16" s="6">
        <v>0</v>
      </c>
      <c r="G16" s="6">
        <v>9</v>
      </c>
      <c r="O16" t="s">
        <v>2542</v>
      </c>
      <c r="P16" t="s">
        <v>2543</v>
      </c>
      <c r="Q16">
        <v>2</v>
      </c>
      <c r="R16">
        <v>1</v>
      </c>
      <c r="S16">
        <v>0</v>
      </c>
      <c r="T16">
        <v>0</v>
      </c>
      <c r="U16">
        <v>3</v>
      </c>
      <c r="W16" s="2"/>
    </row>
    <row r="17" spans="1:23" x14ac:dyDescent="0.3">
      <c r="A17" t="s">
        <v>205</v>
      </c>
      <c r="B17" t="s">
        <v>206</v>
      </c>
      <c r="C17" s="6">
        <v>0</v>
      </c>
      <c r="D17" s="6">
        <v>0</v>
      </c>
      <c r="E17" s="6">
        <v>1</v>
      </c>
      <c r="F17" s="6">
        <v>0</v>
      </c>
      <c r="G17" s="6">
        <v>1</v>
      </c>
      <c r="O17" t="s">
        <v>2546</v>
      </c>
      <c r="P17" t="s">
        <v>2547</v>
      </c>
      <c r="Q17">
        <v>3</v>
      </c>
      <c r="R17">
        <v>0</v>
      </c>
      <c r="S17">
        <v>0</v>
      </c>
      <c r="T17">
        <v>0</v>
      </c>
      <c r="U17">
        <v>3</v>
      </c>
      <c r="W17" s="2"/>
    </row>
    <row r="18" spans="1:23" x14ac:dyDescent="0.3">
      <c r="A18" t="s">
        <v>211</v>
      </c>
      <c r="B18" t="s">
        <v>212</v>
      </c>
      <c r="C18" s="6">
        <v>2</v>
      </c>
      <c r="D18" s="6">
        <v>1</v>
      </c>
      <c r="E18" s="6">
        <v>2</v>
      </c>
      <c r="F18" s="6">
        <v>0</v>
      </c>
      <c r="G18" s="6">
        <v>5</v>
      </c>
      <c r="O18" t="s">
        <v>2526</v>
      </c>
      <c r="P18" t="s">
        <v>2527</v>
      </c>
      <c r="Q18">
        <v>0</v>
      </c>
      <c r="R18">
        <v>0</v>
      </c>
      <c r="S18">
        <v>2</v>
      </c>
      <c r="T18">
        <v>0</v>
      </c>
      <c r="U18">
        <v>2</v>
      </c>
      <c r="W18" s="2"/>
    </row>
    <row r="19" spans="1:23" x14ac:dyDescent="0.3">
      <c r="A19" t="s">
        <v>217</v>
      </c>
      <c r="B19" t="s">
        <v>218</v>
      </c>
      <c r="C19" s="6">
        <v>1</v>
      </c>
      <c r="D19" s="6">
        <v>0</v>
      </c>
      <c r="E19" s="6">
        <v>1</v>
      </c>
      <c r="F19" s="6">
        <v>0</v>
      </c>
      <c r="G19" s="6">
        <v>2</v>
      </c>
      <c r="O19" t="s">
        <v>2538</v>
      </c>
      <c r="P19" t="s">
        <v>2539</v>
      </c>
      <c r="Q19">
        <v>1</v>
      </c>
      <c r="R19">
        <v>0</v>
      </c>
      <c r="S19">
        <v>1</v>
      </c>
      <c r="T19">
        <v>0</v>
      </c>
      <c r="U19">
        <v>2</v>
      </c>
      <c r="W19" s="2"/>
    </row>
    <row r="20" spans="1:23" x14ac:dyDescent="0.3">
      <c r="A20" t="s">
        <v>223</v>
      </c>
      <c r="B20" t="s">
        <v>224</v>
      </c>
      <c r="C20" s="6">
        <v>4</v>
      </c>
      <c r="D20" s="6">
        <v>2</v>
      </c>
      <c r="E20" s="6">
        <v>0</v>
      </c>
      <c r="F20" s="6">
        <v>0</v>
      </c>
      <c r="G20" s="6">
        <v>6</v>
      </c>
      <c r="O20" t="s">
        <v>2560</v>
      </c>
      <c r="P20" t="s">
        <v>2561</v>
      </c>
      <c r="Q20">
        <v>2</v>
      </c>
      <c r="R20">
        <v>0</v>
      </c>
      <c r="S20">
        <v>0</v>
      </c>
      <c r="T20">
        <v>0</v>
      </c>
      <c r="U20">
        <v>2</v>
      </c>
      <c r="W20" s="2"/>
    </row>
    <row r="21" spans="1:23" x14ac:dyDescent="0.3">
      <c r="A21" t="s">
        <v>229</v>
      </c>
      <c r="B21" t="s">
        <v>230</v>
      </c>
      <c r="C21" s="6">
        <v>2</v>
      </c>
      <c r="D21" s="6">
        <v>1</v>
      </c>
      <c r="E21" s="6">
        <v>0</v>
      </c>
      <c r="F21" s="6">
        <v>0</v>
      </c>
      <c r="G21" s="6">
        <v>3</v>
      </c>
      <c r="O21" t="s">
        <v>2562</v>
      </c>
      <c r="P21" t="s">
        <v>2563</v>
      </c>
      <c r="Q21">
        <v>0</v>
      </c>
      <c r="R21">
        <v>1</v>
      </c>
      <c r="S21">
        <v>1</v>
      </c>
      <c r="T21">
        <v>0</v>
      </c>
      <c r="U21">
        <v>2</v>
      </c>
      <c r="W21" s="2"/>
    </row>
    <row r="22" spans="1:23" x14ac:dyDescent="0.3">
      <c r="A22" t="s">
        <v>235</v>
      </c>
      <c r="B22" t="s">
        <v>236</v>
      </c>
      <c r="C22" s="6">
        <v>3</v>
      </c>
      <c r="D22" s="6">
        <v>1</v>
      </c>
      <c r="E22" s="6">
        <v>0</v>
      </c>
      <c r="F22" s="6">
        <v>0</v>
      </c>
      <c r="G22" s="6">
        <v>4</v>
      </c>
      <c r="O22" t="s">
        <v>2568</v>
      </c>
      <c r="P22" t="s">
        <v>2569</v>
      </c>
      <c r="Q22">
        <v>1</v>
      </c>
      <c r="R22">
        <v>0</v>
      </c>
      <c r="S22">
        <v>1</v>
      </c>
      <c r="T22">
        <v>0</v>
      </c>
      <c r="U22">
        <v>2</v>
      </c>
      <c r="W22" s="2"/>
    </row>
    <row r="23" spans="1:23" x14ac:dyDescent="0.3">
      <c r="A23" t="s">
        <v>241</v>
      </c>
      <c r="B23" t="s">
        <v>242</v>
      </c>
      <c r="C23" s="6">
        <v>3</v>
      </c>
      <c r="D23" s="6">
        <v>0</v>
      </c>
      <c r="E23" s="6">
        <v>0</v>
      </c>
      <c r="F23" s="6">
        <v>0</v>
      </c>
      <c r="G23" s="6">
        <v>3</v>
      </c>
      <c r="O23" t="s">
        <v>2534</v>
      </c>
      <c r="P23" t="s">
        <v>2535</v>
      </c>
      <c r="Q23">
        <v>0</v>
      </c>
      <c r="R23">
        <v>0</v>
      </c>
      <c r="S23">
        <v>1</v>
      </c>
      <c r="T23">
        <v>0</v>
      </c>
      <c r="U23">
        <v>1</v>
      </c>
      <c r="W23" s="2"/>
    </row>
    <row r="24" spans="1:23" x14ac:dyDescent="0.3">
      <c r="A24" t="s">
        <v>247</v>
      </c>
      <c r="B24" t="s">
        <v>248</v>
      </c>
      <c r="C24" s="6">
        <v>1</v>
      </c>
      <c r="D24" s="6">
        <v>4</v>
      </c>
      <c r="E24" s="6">
        <v>2</v>
      </c>
      <c r="F24" s="6">
        <v>0</v>
      </c>
      <c r="G24" s="6">
        <v>7</v>
      </c>
      <c r="O24" t="s">
        <v>2564</v>
      </c>
      <c r="P24" t="s">
        <v>2565</v>
      </c>
      <c r="Q24">
        <v>0</v>
      </c>
      <c r="R24">
        <v>1</v>
      </c>
      <c r="S24">
        <v>0</v>
      </c>
      <c r="T24">
        <v>0</v>
      </c>
      <c r="U24">
        <v>1</v>
      </c>
      <c r="W24" s="2"/>
    </row>
    <row r="25" spans="1:23" x14ac:dyDescent="0.3">
      <c r="A25" t="s">
        <v>253</v>
      </c>
      <c r="B25" t="s">
        <v>254</v>
      </c>
      <c r="C25" s="6">
        <v>1</v>
      </c>
      <c r="D25" s="6">
        <v>0</v>
      </c>
      <c r="E25" s="6">
        <v>3</v>
      </c>
      <c r="F25" s="6">
        <v>0</v>
      </c>
      <c r="G25" s="6">
        <v>4</v>
      </c>
      <c r="W25" s="2"/>
    </row>
    <row r="26" spans="1:23" x14ac:dyDescent="0.3">
      <c r="A26" t="s">
        <v>259</v>
      </c>
      <c r="B26" t="s">
        <v>260</v>
      </c>
      <c r="C26" s="6">
        <v>0</v>
      </c>
      <c r="D26" s="6">
        <v>0</v>
      </c>
      <c r="E26" s="6">
        <v>4</v>
      </c>
      <c r="F26" s="6">
        <v>0</v>
      </c>
      <c r="G26" s="6">
        <v>4</v>
      </c>
      <c r="W26" s="2"/>
    </row>
    <row r="27" spans="1:23" x14ac:dyDescent="0.3">
      <c r="A27" t="s">
        <v>265</v>
      </c>
      <c r="B27" t="s">
        <v>266</v>
      </c>
      <c r="C27" s="6">
        <v>1</v>
      </c>
      <c r="D27" s="6">
        <v>4</v>
      </c>
      <c r="E27" s="6">
        <v>0</v>
      </c>
      <c r="F27" s="6">
        <v>0</v>
      </c>
      <c r="G27" s="6">
        <v>5</v>
      </c>
    </row>
    <row r="28" spans="1:23" x14ac:dyDescent="0.3">
      <c r="A28" t="s">
        <v>271</v>
      </c>
      <c r="B28" t="s">
        <v>272</v>
      </c>
      <c r="C28" s="6">
        <v>1</v>
      </c>
      <c r="D28" s="6">
        <v>1</v>
      </c>
      <c r="E28" s="6">
        <v>2</v>
      </c>
      <c r="F28" s="6">
        <v>0</v>
      </c>
      <c r="G28" s="6">
        <v>4</v>
      </c>
    </row>
    <row r="29" spans="1:23" x14ac:dyDescent="0.3">
      <c r="A29" t="s">
        <v>277</v>
      </c>
      <c r="B29" t="s">
        <v>278</v>
      </c>
      <c r="C29" s="6">
        <v>4</v>
      </c>
      <c r="D29" s="6">
        <v>2</v>
      </c>
      <c r="E29" s="6">
        <v>1</v>
      </c>
      <c r="F29" s="6">
        <v>0</v>
      </c>
      <c r="G29" s="6">
        <v>7</v>
      </c>
    </row>
    <row r="30" spans="1:23" x14ac:dyDescent="0.3">
      <c r="A30" t="s">
        <v>289</v>
      </c>
      <c r="B30" t="s">
        <v>290</v>
      </c>
      <c r="C30" s="6">
        <v>2</v>
      </c>
      <c r="D30" s="6">
        <v>0</v>
      </c>
      <c r="E30" s="6">
        <v>0</v>
      </c>
      <c r="F30" s="6">
        <v>0</v>
      </c>
      <c r="G30" s="6">
        <v>2</v>
      </c>
    </row>
    <row r="31" spans="1:23" x14ac:dyDescent="0.3">
      <c r="A31" t="s">
        <v>295</v>
      </c>
      <c r="B31" t="s">
        <v>296</v>
      </c>
      <c r="C31" s="6">
        <v>0</v>
      </c>
      <c r="D31" s="6">
        <v>1</v>
      </c>
      <c r="E31" s="6">
        <v>1</v>
      </c>
      <c r="F31" s="6">
        <v>0</v>
      </c>
      <c r="G31" s="6">
        <v>2</v>
      </c>
    </row>
    <row r="32" spans="1:23" x14ac:dyDescent="0.3">
      <c r="A32" t="s">
        <v>301</v>
      </c>
      <c r="B32" t="s">
        <v>302</v>
      </c>
      <c r="C32" s="6">
        <v>0</v>
      </c>
      <c r="D32" s="6">
        <v>1</v>
      </c>
      <c r="E32" s="6">
        <v>0</v>
      </c>
      <c r="F32" s="6">
        <v>0</v>
      </c>
      <c r="G32" s="6">
        <v>1</v>
      </c>
    </row>
    <row r="33" spans="1:7" x14ac:dyDescent="0.3">
      <c r="A33" t="s">
        <v>307</v>
      </c>
      <c r="B33" t="s">
        <v>308</v>
      </c>
      <c r="C33" s="6">
        <v>3</v>
      </c>
      <c r="D33" s="6">
        <v>2</v>
      </c>
      <c r="E33" s="6">
        <v>0</v>
      </c>
      <c r="F33" s="6">
        <v>0</v>
      </c>
      <c r="G33" s="6">
        <v>5</v>
      </c>
    </row>
    <row r="34" spans="1:7" x14ac:dyDescent="0.3">
      <c r="A34" t="s">
        <v>313</v>
      </c>
      <c r="B34" t="s">
        <v>314</v>
      </c>
      <c r="C34" s="6">
        <v>1</v>
      </c>
      <c r="D34" s="6">
        <v>0</v>
      </c>
      <c r="E34" s="6">
        <v>1</v>
      </c>
      <c r="F34" s="6">
        <v>0</v>
      </c>
      <c r="G34" s="6">
        <v>2</v>
      </c>
    </row>
  </sheetData>
  <sortState ref="O1:V24">
    <sortCondition descending="1" ref="U2"/>
    <sortCondition ref="O2"/>
  </sortState>
  <phoneticPr fontId="1" type="noConversion"/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\� \� \� \� \� \� \� \� 
</file>

<file path=customXml/item3.xml>�� \� ��8� Y�����8� �Xǈ�8� ����|� ����̸|� �­�|� ���|� ����a� ���� ���� Y�D� �� �� �����8� ��8� Y�����8� �Xǈ�8� ����|� ����̸|� �­�|� ���|� ����a� ���� ���� Y�D� �� �� �����8� 
</file>

<file path=customXml/item4.xml>�� 
</file>

<file path=customXml/item5.xml>�� \� 
</file>

<file path=customXml/item6.xml>�� \� ��8� tǄ� D�t�� D� ���8� 4� ��� t�T�|�  ���|� ���� �i�Ĭ ��8� tǄ� D�t�� D� ���8� 4� ��� t�T�|�  ���|� ���� �i�Ĭ 
</file>

<file path=customXml/item7.xml>�� \� \� T�ܴ ȴ� T�ܴ ȴ� \� \� ��8� �����8� P��ǈ�8� �Xǅ� ��|� �a� ��8� �����8� P��ǈ�8� �Xǅ� ��|� �a� \� \� ����X�  �� ����X�  �� ��� ����X�  �� � ��8� Y�����8� �Xǈ�8� ����|� ����̸|� �­�|� ���|� ����a� ���� ���� Y�D� �����8� �� �� ����X�  �� ���� ����X�  �� ���� ����X�  �� ���� ����X�  �� ����X�  �� ��� ����X�  �� � ��8� Y�����8� �Xǈ�8� ����|� ����̸|� �­�|� ���|� ����a� ���� ���� Y�D� �����8� �� �� ����X�  �� ���� ����X�  �� ���� ����X�  �� ���� \� \� ��:   tǄ� ��:   tǄ� ��� ��:   tǄ� � ��:   ���� ��:   ���� ��� ��:   ���� � ��8� tǄ� D�t�� D� ���8� 4� ��� t�T�|�  ���|� ���� �i�Ĭ ��:   tǄ� tǄ� ��:   tǄ� tǄ� ��:   tǄ� tǄ� ��:   ���� ���� ��:   ���� ���� ��:   ���� ���� ��:   tǄ� ��:   tǄ� ��� ��:   tǄ� � ��:   ���� ��:   ���� ��� ��:   ���� � ��8� tǄ� D�t�� D� ���8� 4� ��� t�T�|�  ���|� ���� �i�Ĭ ��:   tǄ� tǄ� ��:   tǄ� tǄ� ��:   tǄ� tǄ� ��:   ���� ���� ��:   ���� ���� ��:   ���� ���� \� \� \� \� \� \� ��8� \� �����8� \� P��ǈ�8� \� �Xǅ� \� ��|� \� �a� \� \� ��8� \� Y�����8� \� �Xǈ�8� \� ����|� \� ����̸|� \� �­�|� \� ���|� \� ����a� \� ���� \� ���� \� Y�D� \� �����8� \� �� \� �� \� \� \� \� \� ����X�  �� \�6 \ ����X�  �� T����  !��� \� \� T�ܴ \� ȴ� \� \� ��8� \� tǄ� \� D�t�� \� D� ���8� \� 4� ��� \� t�T�|� \�  ���|� \� ���� \� �i�Ĭ \� ��:   tǄ� \�2 \ ��:   tǄ� T����  !��� \� ��:   ���� \�2 \ ��:   ���� T����  !��� \� �Xǈ�8� \� ��8� \� �Xǈ�8� \� ��8� \� �Xǈ�8� \� ��8� \� �Xǈ�8� \� ��8� \� ���� \� T�ܴ \� ���� \� T�ܴ \� ���� \� T�ܴ \� ���� \� T�ܴ \� �����8� \� ��8� \� �����8� \� ��8� \� �����8� \� ��8� \� �����8� \� ��8� \� ���� \� T�ܴ \� \� \� \� \� \� ��8� \� �����8� \� P��ǈ�8� \� �Xǅ� \� ��|� \� �a� \� \� ��8� \� Y�����8� \� �Xǈ�8� \� ����|� \� ����̸|� \� �­�|� \� ���|� \� ����a� \� ���� \� ���� \� Y�D� \� �����8� \� �� \� �� \� \� \� \� \� ����X�  �� \�6 \ ����X�  �� T����  !��� \� \� T�ܴ \� ȴ� \� \� ��8� \� tǄ� \� D�t�� \� D� ���8� \� 4� ��� \� t�T�|� \�  ���|� \� ���� \� �i�Ĭ \� ��:   tǄ� \�2 \ ��:   tǄ� T����  !��� \� ��:   ���� \�2 \ ��:   ���� T����  !��� \� �Xǈ�8� \� ��8� ]�� ]�� \� �Xǈ�8� \� ��8� \� �Xǈ�8� \� ��8� \� �Xǈ�8� \� ��8� \� ���� \� T�ܴ ]�� ]�� \� ���� \� T�ܴ \� ���� \� T�ܴ \� ���� \� T�ܴ \� �����8� \� ��8� ]�� ]�� \� �����8� \� ��8� \� �����8� \� ��8� \� �����8� \� ��8� 
</file>

<file path=customXml/item8.xml>�� 
</file>

<file path=customXml/item9.xml>�� 
</file>

<file path=customXml/item10.xml>�� 
</file>

<file path=customXml/item11.xml>�� 
</file>

<file path=customXml/item12.xml>�� \�6 , \�2 , \�4 , \� 
</file>

<file path=customXml/item13.xml>�� \� T�ܴ ȴ� T�ܴ ȴ� 
</file>

<file path=customXml/item14.xml>�� \� ��8� �����8� P��ǈ�8� �Xǅ� ��|� �a� ��8� �����8� P��ǈ�8� �Xǅ� ��|� �a�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\� \� ��8� Y�����8� �Xǈ�8� ����|� ����̸|� �­�|� ���|� ����a� ���� ���� Y�D� �����8� �� �� \� \� ��8� �����8� P��ǈ�8� �Xǅ� ��|� �a� \� \� T�ܴ ȴ� \� \� ��8� tǄ� D�t�� D� ���8� 4� ��� t�T�|� Y�P� Y�D�  ���|� ��xǸ� ��X� ����a� �X��� \� \� ��8� tǄ� D�t�� D� ���8� 4� ��� t�T�|�  ���|� ���� �i�Ĭ 
</file>

<file path=customXml/item21.xml>�� \� \� \� \� 
</file>

<file path=customXml/itemProps1.xml><?xml version="1.0" encoding="utf-8"?>
<ds:datastoreItem xmlns:ds="http://schemas.openxmlformats.org/officeDocument/2006/customXml" ds:itemID="{848D8017-86D6-42F6-BE6E-6328774044A5}">
  <ds:schemaRefs/>
</ds:datastoreItem>
</file>

<file path=customXml/itemProps2.xml><?xml version="1.0" encoding="utf-8"?>
<ds:datastoreItem xmlns:ds="http://schemas.openxmlformats.org/officeDocument/2006/customXml" ds:itemID="{E582382B-BB54-430E-BC0B-A6BC5EE567EF}">
  <ds:schemaRefs/>
</ds:datastoreItem>
</file>

<file path=customXml/itemProps3.xml><?xml version="1.0" encoding="utf-8"?>
<ds:datastoreItem xmlns:ds="http://schemas.openxmlformats.org/officeDocument/2006/customXml" ds:itemID="{E9EFED41-E4B4-429D-A912-4D2F093B8BA3}">
  <ds:schemaRefs/>
</ds:datastoreItem>
</file>

<file path=customXml/itemProps4.xml><?xml version="1.0" encoding="utf-8"?>
<ds:datastoreItem xmlns:ds="http://schemas.openxmlformats.org/officeDocument/2006/customXml" ds:itemID="{CCCF9A19-DAC6-4711-AAF1-4A637B989A87}">
  <ds:schemaRefs/>
</ds:datastoreItem>
</file>

<file path=customXml/itemProps5.xml><?xml version="1.0" encoding="utf-8"?>
<ds:datastoreItem xmlns:ds="http://schemas.openxmlformats.org/officeDocument/2006/customXml" ds:itemID="{2EE06CE8-94B1-4506-BA94-48BEF468EE49}">
  <ds:schemaRefs/>
</ds:datastoreItem>
</file>

<file path=customXml/itemProps6.xml><?xml version="1.0" encoding="utf-8"?>
<ds:datastoreItem xmlns:ds="http://schemas.openxmlformats.org/officeDocument/2006/customXml" ds:itemID="{C1CF9778-5130-4377-AB26-F03464E428A4}">
  <ds:schemaRefs/>
</ds:datastoreItem>
</file>

<file path=customXml/itemProps7.xml><?xml version="1.0" encoding="utf-8"?>
<ds:datastoreItem xmlns:ds="http://schemas.openxmlformats.org/officeDocument/2006/customXml" ds:itemID="{BBD7028E-31E1-42E5-B735-9A54D0B40492}">
  <ds:schemaRefs/>
</ds:datastoreItem>
</file>

<file path=customXml/itemProps8.xml><?xml version="1.0" encoding="utf-8"?>
<ds:datastoreItem xmlns:ds="http://schemas.openxmlformats.org/officeDocument/2006/customXml" ds:itemID="{B7D17155-F207-4FD2-A757-9C29C2F83CDC}">
  <ds:schemaRefs/>
</ds:datastoreItem>
</file>

<file path=customXml/itemProps9.xml><?xml version="1.0" encoding="utf-8"?>
<ds:datastoreItem xmlns:ds="http://schemas.openxmlformats.org/officeDocument/2006/customXml" ds:itemID="{18E998F5-EC07-493D-B231-D696D00113F8}">
  <ds:schemaRefs/>
</ds:datastoreItem>
</file>

<file path=customXml/itemProps10.xml><?xml version="1.0" encoding="utf-8"?>
<ds:datastoreItem xmlns:ds="http://schemas.openxmlformats.org/officeDocument/2006/customXml" ds:itemID="{87F6422F-C3BA-434A-A3CC-91B8A65F4A58}">
  <ds:schemaRefs/>
</ds:datastoreItem>
</file>

<file path=customXml/itemProps11.xml><?xml version="1.0" encoding="utf-8"?>
<ds:datastoreItem xmlns:ds="http://schemas.openxmlformats.org/officeDocument/2006/customXml" ds:itemID="{946CC0C1-2329-4115-B290-FA8022745C6C}">
  <ds:schemaRefs/>
</ds:datastoreItem>
</file>

<file path=customXml/itemProps12.xml><?xml version="1.0" encoding="utf-8"?>
<ds:datastoreItem xmlns:ds="http://schemas.openxmlformats.org/officeDocument/2006/customXml" ds:itemID="{A5E56FF0-8DB7-4B76-BADF-384D9878B209}">
  <ds:schemaRefs/>
</ds:datastoreItem>
</file>

<file path=customXml/itemProps13.xml><?xml version="1.0" encoding="utf-8"?>
<ds:datastoreItem xmlns:ds="http://schemas.openxmlformats.org/officeDocument/2006/customXml" ds:itemID="{5492EAB8-30AA-49CE-BD44-7A53E25A9DB8}">
  <ds:schemaRefs/>
</ds:datastoreItem>
</file>

<file path=customXml/itemProps14.xml><?xml version="1.0" encoding="utf-8"?>
<ds:datastoreItem xmlns:ds="http://schemas.openxmlformats.org/officeDocument/2006/customXml" ds:itemID="{9E6897CE-CE33-4C85-93F6-8E606CCFEE36}">
  <ds:schemaRefs/>
</ds:datastoreItem>
</file>

<file path=customXml/itemProps15.xml><?xml version="1.0" encoding="utf-8"?>
<ds:datastoreItem xmlns:ds="http://schemas.openxmlformats.org/officeDocument/2006/customXml" ds:itemID="{BBDFB364-2B4F-4B02-9F60-B76014FBE307}">
  <ds:schemaRefs/>
</ds:datastoreItem>
</file>

<file path=customXml/itemProps16.xml><?xml version="1.0" encoding="utf-8"?>
<ds:datastoreItem xmlns:ds="http://schemas.openxmlformats.org/officeDocument/2006/customXml" ds:itemID="{E1E64544-32AD-45E9-934A-C314759F2EBE}">
  <ds:schemaRefs/>
</ds:datastoreItem>
</file>

<file path=customXml/itemProps17.xml><?xml version="1.0" encoding="utf-8"?>
<ds:datastoreItem xmlns:ds="http://schemas.openxmlformats.org/officeDocument/2006/customXml" ds:itemID="{109C12F9-EC2F-41C3-8CAB-B31D281DFA43}">
  <ds:schemaRefs/>
</ds:datastoreItem>
</file>

<file path=customXml/itemProps18.xml><?xml version="1.0" encoding="utf-8"?>
<ds:datastoreItem xmlns:ds="http://schemas.openxmlformats.org/officeDocument/2006/customXml" ds:itemID="{2C07CA98-7A73-4B02-8441-D03E04EF05E3}">
  <ds:schemaRefs/>
</ds:datastoreItem>
</file>

<file path=customXml/itemProps19.xml><?xml version="1.0" encoding="utf-8"?>
<ds:datastoreItem xmlns:ds="http://schemas.openxmlformats.org/officeDocument/2006/customXml" ds:itemID="{E7FD964D-8163-4F94-977E-38ABE1A47AF7}">
  <ds:schemaRefs/>
</ds:datastoreItem>
</file>

<file path=customXml/itemProps20.xml><?xml version="1.0" encoding="utf-8"?>
<ds:datastoreItem xmlns:ds="http://schemas.openxmlformats.org/officeDocument/2006/customXml" ds:itemID="{6A8B1FE8-5E06-4C59-BFB8-257E0A21111C}">
  <ds:schemaRefs/>
</ds:datastoreItem>
</file>

<file path=customXml/itemProps21.xml><?xml version="1.0" encoding="utf-8"?>
<ds:datastoreItem xmlns:ds="http://schemas.openxmlformats.org/officeDocument/2006/customXml" ds:itemID="{BA335AF2-A970-465C-B33C-0D631769599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17</vt:i4>
      </vt:variant>
    </vt:vector>
  </HeadingPairs>
  <TitlesOfParts>
    <vt:vector size="26" baseType="lpstr">
      <vt:lpstr>메인</vt:lpstr>
      <vt:lpstr>학생</vt:lpstr>
      <vt:lpstr>강사</vt:lpstr>
      <vt:lpstr>학교</vt:lpstr>
      <vt:lpstr>강의</vt:lpstr>
      <vt:lpstr>강의교재</vt:lpstr>
      <vt:lpstr>강의 신청 및 결제 내역</vt:lpstr>
      <vt:lpstr>교재내역</vt:lpstr>
      <vt:lpstr>자료처리</vt:lpstr>
      <vt:lpstr>'강의 신청 및 결제 내역'!Criteria</vt:lpstr>
      <vt:lpstr>교재내역!Criteria</vt:lpstr>
      <vt:lpstr>학생!Extract</vt:lpstr>
      <vt:lpstr>과학</vt:lpstr>
      <vt:lpstr>국어</vt:lpstr>
      <vt:lpstr>번호</vt:lpstr>
      <vt:lpstr>사회</vt:lpstr>
      <vt:lpstr>선택강의</vt:lpstr>
      <vt:lpstr>선택교재</vt:lpstr>
      <vt:lpstr>선택신청</vt:lpstr>
      <vt:lpstr>수학</vt:lpstr>
      <vt:lpstr>역사</vt:lpstr>
      <vt:lpstr>영어</vt:lpstr>
      <vt:lpstr>전체</vt:lpstr>
      <vt:lpstr>제2외국어</vt:lpstr>
      <vt:lpstr>직업</vt:lpstr>
      <vt:lpstr>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2022-07-29T02:24:43Z</dcterms:created>
  <dcterms:modified xsi:type="dcterms:W3CDTF">2022-07-31T03:52:03Z</dcterms:modified>
</cp:coreProperties>
</file>