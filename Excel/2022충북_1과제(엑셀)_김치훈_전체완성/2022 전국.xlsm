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기능\2022 전국\엑셀\충북\2022충북_1과제(엑셀)_KSH_완성\"/>
    </mc:Choice>
  </mc:AlternateContent>
  <bookViews>
    <workbookView xWindow="0" yWindow="0" windowWidth="7470" windowHeight="9060" firstSheet="5" activeTab="5"/>
  </bookViews>
  <sheets>
    <sheet name="회원정보" sheetId="6" state="hidden" r:id="rId1"/>
    <sheet name="후원정보" sheetId="7" state="hidden" r:id="rId2"/>
    <sheet name="후원내역" sheetId="9" state="hidden" r:id="rId3"/>
    <sheet name="굿즈구입내역" sheetId="10" state="hidden" r:id="rId4"/>
    <sheet name="봉사활동 후기" sheetId="11" state="hidden" r:id="rId5"/>
    <sheet name="메인" sheetId="12" r:id="rId6"/>
    <sheet name="후원하기" sheetId="13" state="hidden" r:id="rId7"/>
    <sheet name="굿즈" sheetId="14" state="hidden" r:id="rId8"/>
    <sheet name="굿즈정보" sheetId="8" state="hidden" r:id="rId9"/>
    <sheet name="자료처리" sheetId="18" state="hidden" r:id="rId10"/>
    <sheet name="봉사활동" sheetId="15" state="hidden" r:id="rId11"/>
    <sheet name="관리자" sheetId="17" state="hidden" r:id="rId12"/>
    <sheet name="마이페이지" sheetId="16" state="hidden" r:id="rId13"/>
  </sheets>
  <functionGroups builtInGroupCount="18"/>
  <definedNames>
    <definedName name="_xlnm._FilterDatabase" localSheetId="10" hidden="1">봉사활동!$A$1:$E$26</definedName>
    <definedName name="_xlnm._FilterDatabase" localSheetId="0" hidden="1">회원정보!$A$1:$I$21</definedName>
    <definedName name="_xlnm._FilterDatabase" localSheetId="2" hidden="1">후원내역!$A$1:$E$52</definedName>
    <definedName name="_xlnm.Criteria" localSheetId="10">봉사활동!$I$1:$I$2</definedName>
    <definedName name="_xlnm.Criteria" localSheetId="0">회원정보!$L$1:$L$2</definedName>
    <definedName name="_xlnm.Criteria" localSheetId="2">후원내역!$I$1:$I$2</definedName>
    <definedName name="_xlnm.Extract" localSheetId="10">봉사활동!$K$1:$O$1</definedName>
    <definedName name="_xlnm.Extract" localSheetId="0">회원정보!$N$1:$O$1</definedName>
    <definedName name="_xlnm.Extract" localSheetId="2">후원내역!$K$1:$O$1</definedName>
    <definedName name="TOP_3">회원정보!$N$2:$N$4</definedName>
    <definedName name="view">후원하기!$Z$1:$AB$3</definedName>
    <definedName name="굿즈_view">굿즈!$AF$2:$AJ$3</definedName>
    <definedName name="색깔">회원정보!$R$2:$R$4</definedName>
    <definedName name="키패드">자료처리!$M$16:$M$25</definedName>
    <definedName name="회원">자료처리!$A$1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6" l="1"/>
  <c r="U20" i="18"/>
  <c r="U19" i="18"/>
  <c r="U18" i="18"/>
  <c r="U17" i="18"/>
  <c r="R20" i="18" l="1"/>
  <c r="R19" i="18"/>
  <c r="R18" i="18"/>
  <c r="R17" i="18"/>
  <c r="N17" i="18" l="1"/>
  <c r="N25" i="18"/>
  <c r="N18" i="18"/>
  <c r="N20" i="18"/>
  <c r="N19" i="18"/>
  <c r="N24" i="18"/>
  <c r="N22" i="18"/>
  <c r="N16" i="18"/>
  <c r="N23" i="18"/>
  <c r="N21" i="18"/>
  <c r="Z9" i="18"/>
  <c r="Z10" i="18"/>
  <c r="Z8" i="18"/>
  <c r="Z7" i="18"/>
  <c r="W7" i="18"/>
  <c r="H21" i="6"/>
  <c r="I21" i="6"/>
  <c r="B3" i="18"/>
  <c r="C1" i="18" l="1"/>
  <c r="D1" i="18"/>
  <c r="E1" i="18"/>
  <c r="F1" i="18"/>
  <c r="G1" i="18"/>
  <c r="B1" i="18"/>
  <c r="M1" i="18" s="1"/>
  <c r="I2" i="6"/>
  <c r="I1" i="18" s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E2" i="10" a="1"/>
  <c r="E2" i="10" s="1"/>
  <c r="E3" i="10" a="1"/>
  <c r="E3" i="10"/>
  <c r="H13" i="6" s="1"/>
  <c r="E4" i="10" a="1"/>
  <c r="E4" i="10" s="1"/>
  <c r="E5" i="10" a="1"/>
  <c r="E5" i="10"/>
  <c r="E6" i="10" a="1"/>
  <c r="E6" i="10" s="1"/>
  <c r="E7" i="10" a="1"/>
  <c r="E7" i="10"/>
  <c r="E8" i="10" a="1"/>
  <c r="E8" i="10" s="1"/>
  <c r="E9" i="10" a="1"/>
  <c r="E9" i="10"/>
  <c r="E10" i="10" a="1"/>
  <c r="E10" i="10" s="1"/>
  <c r="E11" i="10" a="1"/>
  <c r="E11" i="10"/>
  <c r="E12" i="10" a="1"/>
  <c r="E12" i="10" s="1"/>
  <c r="E13" i="10" a="1"/>
  <c r="E13" i="10"/>
  <c r="E14" i="10" a="1"/>
  <c r="E14" i="10" s="1"/>
  <c r="E15" i="10" a="1"/>
  <c r="E15" i="10"/>
  <c r="H5" i="6" s="1"/>
  <c r="E16" i="10" a="1"/>
  <c r="E16" i="10" s="1"/>
  <c r="E17" i="10" a="1"/>
  <c r="E17" i="10"/>
  <c r="H17" i="6" s="1"/>
  <c r="E18" i="10" a="1"/>
  <c r="E18" i="10" s="1"/>
  <c r="E19" i="10" a="1"/>
  <c r="E19" i="10"/>
  <c r="E20" i="10" a="1"/>
  <c r="E20" i="10" s="1"/>
  <c r="E21" i="10" a="1"/>
  <c r="E21" i="10"/>
  <c r="E22" i="10" a="1"/>
  <c r="E22" i="10" s="1"/>
  <c r="E23" i="10" a="1"/>
  <c r="E23" i="10"/>
  <c r="E24" i="10" a="1"/>
  <c r="E24" i="10" s="1"/>
  <c r="E25" i="10" a="1"/>
  <c r="E25" i="10"/>
  <c r="E26" i="10" a="1"/>
  <c r="E26" i="10" s="1"/>
  <c r="E27" i="10" a="1"/>
  <c r="E27" i="10"/>
  <c r="E28" i="10" a="1"/>
  <c r="E28" i="10" s="1"/>
  <c r="E29" i="10" a="1"/>
  <c r="E29" i="10"/>
  <c r="E30" i="10" a="1"/>
  <c r="E30" i="10" s="1"/>
  <c r="E31" i="10" a="1"/>
  <c r="E31" i="10"/>
  <c r="E32" i="10" a="1"/>
  <c r="E32" i="10" s="1"/>
  <c r="E33" i="10" a="1"/>
  <c r="E33" i="10"/>
  <c r="E34" i="10" a="1"/>
  <c r="E34" i="10" s="1"/>
  <c r="E35" i="10" a="1"/>
  <c r="E35" i="10"/>
  <c r="E36" i="10" a="1"/>
  <c r="E36" i="10" s="1"/>
  <c r="E37" i="10" a="1"/>
  <c r="E37" i="10"/>
  <c r="E38" i="10" a="1"/>
  <c r="E38" i="10" s="1"/>
  <c r="E39" i="10" a="1"/>
  <c r="E39" i="10"/>
  <c r="E40" i="10" a="1"/>
  <c r="E40" i="10" s="1"/>
  <c r="E41" i="10" a="1"/>
  <c r="E41" i="10"/>
  <c r="H12" i="6" s="1"/>
  <c r="E42" i="10" a="1"/>
  <c r="E42" i="10" s="1"/>
  <c r="E43" i="10" a="1"/>
  <c r="E43" i="10"/>
  <c r="E44" i="10" a="1"/>
  <c r="E44" i="10" s="1"/>
  <c r="H3" i="6"/>
  <c r="H4" i="6"/>
  <c r="H16" i="6"/>
  <c r="H18" i="6"/>
  <c r="H19" i="6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H8" i="6" l="1"/>
  <c r="A3" i="18"/>
  <c r="H2" i="6"/>
  <c r="H20" i="6"/>
  <c r="H10" i="6"/>
  <c r="H15" i="6"/>
  <c r="H14" i="6"/>
  <c r="H6" i="6"/>
  <c r="H7" i="6"/>
  <c r="H9" i="6"/>
  <c r="H11" i="6"/>
  <c r="V1" i="13"/>
  <c r="AA2" i="13"/>
  <c r="AA3" i="13" s="1"/>
  <c r="AB2" i="13"/>
  <c r="AB3" i="13" s="1"/>
  <c r="Z2" i="13"/>
  <c r="Z3" i="13" s="1"/>
  <c r="X2" i="13"/>
  <c r="X3" i="13"/>
  <c r="H1" i="18" l="1"/>
  <c r="M2" i="18" s="1"/>
  <c r="Z3" i="7"/>
</calcChain>
</file>

<file path=xl/comments1.xml><?xml version="1.0" encoding="utf-8"?>
<comments xmlns="http://schemas.openxmlformats.org/spreadsheetml/2006/main">
  <authors>
    <author>itskills1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3등 명예 후원자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2등 명예 후원자</t>
        </r>
      </text>
    </comment>
    <comment ref="B14" authorId="0" shapeId="0">
      <text>
        <r>
          <rPr>
            <sz val="9"/>
            <color indexed="81"/>
            <rFont val="Tahoma"/>
            <family val="2"/>
          </rPr>
          <t>1등 명예 후원자</t>
        </r>
      </text>
    </comment>
  </commentList>
</comments>
</file>

<file path=xl/sharedStrings.xml><?xml version="1.0" encoding="utf-8"?>
<sst xmlns="http://schemas.openxmlformats.org/spreadsheetml/2006/main" count="402" uniqueCount="322">
  <si>
    <t>번호</t>
  </si>
  <si>
    <t>이름</t>
  </si>
  <si>
    <t>아이디</t>
  </si>
  <si>
    <t>비밀번호</t>
  </si>
  <si>
    <t>결제비밀번호</t>
  </si>
  <si>
    <t>이메일</t>
  </si>
  <si>
    <t>전화번호</t>
  </si>
  <si>
    <t>김강산</t>
  </si>
  <si>
    <t>rlsmd01</t>
  </si>
  <si>
    <t>rlmsd0101!</t>
  </si>
  <si>
    <t>user01@skills.com</t>
  </si>
  <si>
    <t>010-7412-8956</t>
  </si>
  <si>
    <t>김신비</t>
  </si>
  <si>
    <t>rlsmd02</t>
  </si>
  <si>
    <t>rlmsd0102!</t>
  </si>
  <si>
    <t>user02@skills.com</t>
  </si>
  <si>
    <t>010-5225-5522</t>
  </si>
  <si>
    <t>신태웅</t>
  </si>
  <si>
    <t>rlsmd03</t>
  </si>
  <si>
    <t>rlmsd0103!</t>
  </si>
  <si>
    <t>user03@skills.com</t>
  </si>
  <si>
    <t>010-6300-4225</t>
  </si>
  <si>
    <t>조윤상</t>
  </si>
  <si>
    <t>rlsmd04</t>
  </si>
  <si>
    <t>rlmsd0104!</t>
  </si>
  <si>
    <t>user04@skills.com</t>
  </si>
  <si>
    <t>010-4848-5409</t>
  </si>
  <si>
    <t>조민주</t>
  </si>
  <si>
    <t>rlsmd05</t>
  </si>
  <si>
    <t>rlmsd0105!</t>
  </si>
  <si>
    <t>user05@skills.com</t>
  </si>
  <si>
    <t>010-5409-7110</t>
  </si>
  <si>
    <t>한승재</t>
  </si>
  <si>
    <t>rlsmd06</t>
  </si>
  <si>
    <t>rlmsd0106!</t>
  </si>
  <si>
    <t>user06@skills.com</t>
  </si>
  <si>
    <t>010-8452-5555</t>
  </si>
  <si>
    <t>최은혁</t>
  </si>
  <si>
    <t>rlsmd07</t>
  </si>
  <si>
    <t>rlmsd0107!</t>
  </si>
  <si>
    <t>user07@skills.com</t>
  </si>
  <si>
    <t>010-8595-9665</t>
  </si>
  <si>
    <t>주성율</t>
  </si>
  <si>
    <t>rlsmd08</t>
  </si>
  <si>
    <t>rlmsd0108!</t>
  </si>
  <si>
    <t>user08@skills.com</t>
  </si>
  <si>
    <t>010-8599-4121</t>
  </si>
  <si>
    <t>이태주</t>
  </si>
  <si>
    <t>rlsmd09</t>
  </si>
  <si>
    <t>rlmsd0109!</t>
  </si>
  <si>
    <t>user09@skills.com</t>
  </si>
  <si>
    <t>010-1234-8547</t>
  </si>
  <si>
    <t>서규민</t>
  </si>
  <si>
    <t>rlsmd10</t>
  </si>
  <si>
    <t>rlmsd0110!</t>
  </si>
  <si>
    <t>user10@skills.com</t>
  </si>
  <si>
    <t>010-9764-8596</t>
  </si>
  <si>
    <t>박지원</t>
  </si>
  <si>
    <t>rlsmd11</t>
  </si>
  <si>
    <t>rlmsd0111!</t>
  </si>
  <si>
    <t>user11@skills.com</t>
  </si>
  <si>
    <t>010-0022-5263</t>
  </si>
  <si>
    <t>이진원</t>
  </si>
  <si>
    <t>rlsmd12</t>
  </si>
  <si>
    <t>rlmsd0112!</t>
  </si>
  <si>
    <t>user12@skills.com</t>
  </si>
  <si>
    <t>010-4121-5236</t>
  </si>
  <si>
    <t>김성태</t>
  </si>
  <si>
    <t>rlsmd13</t>
  </si>
  <si>
    <t>rlmsd0113!</t>
  </si>
  <si>
    <t>user13@skills.com</t>
  </si>
  <si>
    <t>010-9512-8220</t>
  </si>
  <si>
    <t>조은미</t>
  </si>
  <si>
    <t>rlsmd14</t>
  </si>
  <si>
    <t>rlmsd0114!</t>
  </si>
  <si>
    <t>user14@skills.com</t>
  </si>
  <si>
    <t>010-7423-8512</t>
  </si>
  <si>
    <t>박예찬</t>
  </si>
  <si>
    <t>rlsmd15</t>
  </si>
  <si>
    <t>rlmsd0115!</t>
  </si>
  <si>
    <t>user15@skills.com</t>
  </si>
  <si>
    <t>010-9741-8523</t>
  </si>
  <si>
    <t>이영희</t>
  </si>
  <si>
    <t>rlsmd16</t>
  </si>
  <si>
    <t>rlmsd0116!</t>
  </si>
  <si>
    <t>user16@skills.com</t>
  </si>
  <si>
    <t>010-9563-6220</t>
  </si>
  <si>
    <t>박하연</t>
  </si>
  <si>
    <t>rlsmd17</t>
  </si>
  <si>
    <t>rlmsd0117!</t>
  </si>
  <si>
    <t>user17@skills.com</t>
  </si>
  <si>
    <t>010-0552-8495</t>
  </si>
  <si>
    <t>조승연</t>
  </si>
  <si>
    <t>rlsmd18</t>
  </si>
  <si>
    <t>rlmsd0118!</t>
  </si>
  <si>
    <t>user18@skills.com</t>
  </si>
  <si>
    <t>010-6859-2415</t>
  </si>
  <si>
    <t>강나희</t>
  </si>
  <si>
    <t>rlsmd19</t>
  </si>
  <si>
    <t>rlmsd0119!</t>
  </si>
  <si>
    <t>user19@skills.com</t>
  </si>
  <si>
    <t>010-8523-2111</t>
  </si>
  <si>
    <t>김민석</t>
  </si>
  <si>
    <t>rlsmd20</t>
  </si>
  <si>
    <t>rlmsd0120!</t>
  </si>
  <si>
    <t>user20@skills.com</t>
  </si>
  <si>
    <t>010-3181-8888</t>
  </si>
  <si>
    <t>제목</t>
  </si>
  <si>
    <t>내용</t>
  </si>
  <si>
    <t>우크라이나 어린이에게 당신이 필요합니다.</t>
  </si>
  <si>
    <t>어떤 상황에도 어린이는 무력분징의 희생자가 되어서는 안됩니다. 우크라이나 어린이는 지금 평화가 필요합니다. 여러분 한분 한분의 정성이 우크라이나 어린이를 구할 수 있습니다.</t>
  </si>
  <si>
    <t>지진으로 고통받는 아이티를 도와주세요</t>
  </si>
  <si>
    <t>계속된 재난으로 인해 고통받고 있는 아이티의 아이들을 단 한명이라도 더 살릴 수 있도록, 여러분의 도움을 시급하게 요청합니다.</t>
  </si>
  <si>
    <t>날아라! 어린이의 꿈</t>
  </si>
  <si>
    <t>장애어린이가 꿈꾸는 세상! 재활치료를 통해 자신마의 꿈을 펼칠 수 있도록 응원해 주세요.</t>
  </si>
  <si>
    <t>만원의 기적</t>
  </si>
  <si>
    <t>장애어린이에게 기적을 선물해 주세요.</t>
  </si>
  <si>
    <t>삶의 터전을 잃은 주민들을 도와주세요</t>
  </si>
  <si>
    <t>산불로 한순간 모든 걸 잃었습니다. 조금이라도 상처가 빨리 치유되고 다시금 시작할 수 있는 힘을 보태주세요.</t>
  </si>
  <si>
    <t>결연가정에게 응원의 쌀 보내기</t>
  </si>
  <si>
    <t>긴급 생계 지원이 필요한 결연가정이 풍족한 한 끼를 먹을 수 있도록 응원의 쌀을 보내주세요.</t>
  </si>
  <si>
    <t>코로나 19 소상공인 돕기</t>
  </si>
  <si>
    <t>골목 시장 소상공인들, 농가의 어르신들, 소외된 이웃들 이들의 삶이 건강해야 우리의 삶도 건강합니다.</t>
  </si>
  <si>
    <t>수재민들 지원 함께합시다!</t>
  </si>
  <si>
    <t>그치지 않고 계속 되는 비에 피해지역은 넓어지고, 이재민은 늘어만 갑니다. 수재민들 지원에 동참해 주세요.</t>
  </si>
  <si>
    <t>코로나 19 복지사각지대</t>
  </si>
  <si>
    <t>취약계층 여러분들이 코로나 19를 무사히 이겨냈으면 하는 마음으로 함께 도울게요</t>
  </si>
  <si>
    <t>저소득가정에게 사랑의 복 선물하기!</t>
  </si>
  <si>
    <t>2021년 새해가 밝았지만 여전히 코로나 19 확산으로 고립되고, 기습한파로 인한 물가상승에 당당 먹고 살기도 힘겨워진 저소득가정! 추석이 다가오는 지금 복 선물, 어떠세요?</t>
  </si>
  <si>
    <t>해충의 위협! 방충망으로 지키기</t>
  </si>
  <si>
    <t>튼튼한 방충망 하나만 있다면 어르신들이 안전한 여름을 맞이할 수 있습니다.</t>
  </si>
  <si>
    <t>신발로 아이들의 안전을 지켜주세요</t>
  </si>
  <si>
    <t>아이들이 건강하고 자유롭게 뛰어놀 수 있도록 지켜주며, 수익금은 보건 위생 사업에 사용됩니다.</t>
  </si>
  <si>
    <t>학교에서 만나요, 우리!</t>
  </si>
  <si>
    <t>배움의 기회가 없었던 아이들에게 기적을 선물해주세요.</t>
  </si>
  <si>
    <t>사랑의 쌀</t>
  </si>
  <si>
    <t>아직도 우리 주변에는 제대로 된 식사조차 힘든 저소득층 가정이 많이 있습니다. 이들에게 따뜻한 밥 한 끼는 내일을 살아가는 희망의 온기가 됩니다.</t>
  </si>
  <si>
    <t>산타가 되어주세요</t>
  </si>
  <si>
    <t>전 세계 아이들에게 크리스마스의 추억을 선물해주세요</t>
  </si>
  <si>
    <t>새학기를 함께</t>
  </si>
  <si>
    <t xml:space="preserve">저소득층 아이들에게 행복한 새학기를 선물해주세요. </t>
  </si>
  <si>
    <t>베이비박스 사랑의 나눔</t>
  </si>
  <si>
    <t>베이비박스 아이들에게 따뜻한 우유를 선물해주세요.</t>
  </si>
  <si>
    <t>특별한 간식상자</t>
  </si>
  <si>
    <t>양육시설 아동들에게 특별한 간식상자를 선물해주세요.</t>
  </si>
  <si>
    <t>약품창고를 함께 채워요</t>
  </si>
  <si>
    <t>화재 사고가 빈번한 몽골. 화상 때문에 고통의 나날을 보내는 아이들에게 작은 희망이 필요합니다.</t>
  </si>
  <si>
    <t>희망의 빛</t>
  </si>
  <si>
    <t>감당할 수 없을 만큼 비싼 전기료로 전기사용이 어려워 해가 지면 마을 전체가 어둠으로 뒤덮입니다. 어둠 속 아이들에게 희망의 빛을 선물해주세요.</t>
  </si>
  <si>
    <t>상품명</t>
  </si>
  <si>
    <t>가격</t>
  </si>
  <si>
    <t>재고</t>
  </si>
  <si>
    <t>기부퍼센트</t>
  </si>
  <si>
    <t>A01</t>
  </si>
  <si>
    <t>기모후드티</t>
  </si>
  <si>
    <t>A02</t>
  </si>
  <si>
    <t>love 반팔티</t>
  </si>
  <si>
    <t>A03</t>
  </si>
  <si>
    <t>조거팬츠</t>
  </si>
  <si>
    <t>A04</t>
  </si>
  <si>
    <t>어린이 양말</t>
  </si>
  <si>
    <t>A05</t>
  </si>
  <si>
    <t>맨투맨</t>
  </si>
  <si>
    <t>B01</t>
  </si>
  <si>
    <t>밀짚모자</t>
  </si>
  <si>
    <t>B02</t>
  </si>
  <si>
    <t>나이키모자</t>
  </si>
  <si>
    <t>B03</t>
  </si>
  <si>
    <t>MLB모자</t>
  </si>
  <si>
    <t>B04</t>
  </si>
  <si>
    <t>버버리 벙거지</t>
  </si>
  <si>
    <t>B05</t>
  </si>
  <si>
    <t>프라다 버킷햇</t>
  </si>
  <si>
    <t>C01</t>
  </si>
  <si>
    <t>쿼카케이스</t>
  </si>
  <si>
    <t>C02</t>
  </si>
  <si>
    <t>타이거케이스</t>
  </si>
  <si>
    <t>C03</t>
  </si>
  <si>
    <t>짱구폰케이스</t>
  </si>
  <si>
    <t>C04</t>
  </si>
  <si>
    <t>오리케이스</t>
  </si>
  <si>
    <t>C05</t>
  </si>
  <si>
    <t>곰돌이케이스</t>
  </si>
  <si>
    <t>D01</t>
  </si>
  <si>
    <t>꼬임반지</t>
  </si>
  <si>
    <t>D02</t>
  </si>
  <si>
    <t>곰돌이팔찌</t>
  </si>
  <si>
    <t>D03</t>
  </si>
  <si>
    <t>나비반지</t>
  </si>
  <si>
    <t>D04</t>
  </si>
  <si>
    <t>헬로키티팔찌</t>
  </si>
  <si>
    <t>D05</t>
  </si>
  <si>
    <t>트라이앵글컷반지</t>
  </si>
  <si>
    <t>회원번호</t>
  </si>
  <si>
    <t>후원번호</t>
  </si>
  <si>
    <t>금액</t>
  </si>
  <si>
    <t>날짜</t>
  </si>
  <si>
    <t>굿즈번호</t>
  </si>
  <si>
    <t>수량</t>
  </si>
  <si>
    <t>봉사활동번호</t>
  </si>
  <si>
    <t>후기</t>
  </si>
  <si>
    <t>재밌고 보람있었어요</t>
  </si>
  <si>
    <t>담당자님이 너무 친절하셔서 좋았어요</t>
  </si>
  <si>
    <t>도시락도 만들고 어르신들이랑 같이 대화할 수 있어서 좋았습니다.</t>
  </si>
  <si>
    <t>생각보다 힘들었지만 재미있었습니다.</t>
  </si>
  <si>
    <t>감사합니다.</t>
  </si>
  <si>
    <t>다들 한번씩 해보세요!</t>
  </si>
  <si>
    <t>힘들었지만 고양이 너무 귀여웠어요</t>
  </si>
  <si>
    <t>지원 물품이 안전하게 잘 배송되었으면 좋겠습니다.</t>
  </si>
  <si>
    <t>뿌듯하고 보람있었어요 감사합니다.</t>
  </si>
  <si>
    <t>항상 쾌적하게 환경을 만들겠습니다. 감사드립니다.</t>
  </si>
  <si>
    <t>총모금액</t>
    <phoneticPr fontId="1" type="noConversion"/>
  </si>
  <si>
    <t>총 후원금액</t>
    <phoneticPr fontId="1" type="noConversion"/>
  </si>
  <si>
    <t>합계</t>
    <phoneticPr fontId="1" type="noConversion"/>
  </si>
  <si>
    <t>page</t>
    <phoneticPr fontId="1" type="noConversion"/>
  </si>
  <si>
    <t>view1</t>
    <phoneticPr fontId="1" type="noConversion"/>
  </si>
  <si>
    <t>view2</t>
    <phoneticPr fontId="1" type="noConversion"/>
  </si>
  <si>
    <t>view3</t>
    <phoneticPr fontId="1" type="noConversion"/>
  </si>
  <si>
    <t>totalPage</t>
    <phoneticPr fontId="1" type="noConversion"/>
  </si>
  <si>
    <t>totalCount</t>
    <phoneticPr fontId="1" type="noConversion"/>
  </si>
  <si>
    <t>모집기관</t>
  </si>
  <si>
    <t>모집인원</t>
  </si>
  <si>
    <t>아름다운가게 1일 봉사자 모집</t>
  </si>
  <si>
    <t>아름다운가게 창원 사파점</t>
  </si>
  <si>
    <t>북한 이탈 청년 사업 업무 보조</t>
  </si>
  <si>
    <t>해솔직업사관학교</t>
  </si>
  <si>
    <t>독거 어르신 도시락 만들기</t>
  </si>
  <si>
    <t>다봄</t>
  </si>
  <si>
    <t>운동처방센터 자원봉사자</t>
  </si>
  <si>
    <t>마산합포스포츠센터</t>
  </si>
  <si>
    <t>벽화작업 및 페인트칠</t>
  </si>
  <si>
    <t>창원 YWCA</t>
  </si>
  <si>
    <t>헌혈참여자 모집</t>
  </si>
  <si>
    <t>농협밀양시지부</t>
  </si>
  <si>
    <t>길고양이 구조 및 임시보호</t>
  </si>
  <si>
    <t>사단법인 묘연</t>
  </si>
  <si>
    <t>단순 행정보조 업무 봉사</t>
  </si>
  <si>
    <t>환경정비 및 업무보조</t>
  </si>
  <si>
    <t>김해시건강가정다문화가족지원센터</t>
  </si>
  <si>
    <t>의류 및 물품 선별 분류 작업</t>
  </si>
  <si>
    <t>청만세</t>
  </si>
  <si>
    <t>장애인 근로활동보조</t>
  </si>
  <si>
    <t>더아름다운세상</t>
  </si>
  <si>
    <t>서울숲 쓰담쓰담</t>
  </si>
  <si>
    <t>서울숲공원관리사무소</t>
  </si>
  <si>
    <t>심폐소생술교육 및 홍보 활동</t>
  </si>
  <si>
    <t>보건소의약과</t>
  </si>
  <si>
    <t>시각장애인 산행활동 봉사</t>
  </si>
  <si>
    <t>나눔장애인자립생활센터</t>
  </si>
  <si>
    <t>인형극 서포터즈 활동</t>
  </si>
  <si>
    <t>노인보호전문기관</t>
  </si>
  <si>
    <t>해양환경정화</t>
  </si>
  <si>
    <t>강원도 강릉시</t>
  </si>
  <si>
    <t>다큐멘터리 제작편 참가자 모집</t>
  </si>
  <si>
    <t>안양시만안청소년수련관</t>
  </si>
  <si>
    <t>치매인식개선 SNS 홍보</t>
  </si>
  <si>
    <t>치매안심센터</t>
  </si>
  <si>
    <t>기억나무심기</t>
  </si>
  <si>
    <t>오산환경운동연합</t>
  </si>
  <si>
    <t>국립대전현충원 모역정화활동</t>
  </si>
  <si>
    <t>국립대전현충원</t>
  </si>
  <si>
    <t>아동학습지도 및 놀이지도</t>
  </si>
  <si>
    <t>채울지역아동센터</t>
  </si>
  <si>
    <t>디자인 작업(미리캔버스)</t>
  </si>
  <si>
    <t>한국예술심리상담협회</t>
  </si>
  <si>
    <t>놀이체험실 소독</t>
  </si>
  <si>
    <t>육아종합지원센터</t>
  </si>
  <si>
    <t>한국어 수업 보조</t>
  </si>
  <si>
    <t>외국인노동자지원센터</t>
  </si>
  <si>
    <t>희망샘도서관 리본만들기</t>
  </si>
  <si>
    <t>희망샘도서관</t>
  </si>
  <si>
    <t>TOP3 수식</t>
    <phoneticPr fontId="1" type="noConversion"/>
  </si>
  <si>
    <t>명예의 전당</t>
    <phoneticPr fontId="1" type="noConversion"/>
  </si>
  <si>
    <t>후원하러 가기 보여주기</t>
    <phoneticPr fontId="1" type="noConversion"/>
  </si>
  <si>
    <t>등수</t>
    <phoneticPr fontId="1" type="noConversion"/>
  </si>
  <si>
    <t>후원 횟수</t>
    <phoneticPr fontId="1" type="noConversion"/>
  </si>
  <si>
    <t>회원번호</t>
    <phoneticPr fontId="1" type="noConversion"/>
  </si>
  <si>
    <t>영수증 데이터</t>
    <phoneticPr fontId="1" type="noConversion"/>
  </si>
  <si>
    <t>후원제목</t>
    <phoneticPr fontId="1" type="noConversion"/>
  </si>
  <si>
    <t>날짜</t>
    <phoneticPr fontId="1" type="noConversion"/>
  </si>
  <si>
    <t>금액</t>
    <phoneticPr fontId="1" type="noConversion"/>
  </si>
  <si>
    <t>사진이름</t>
    <phoneticPr fontId="1" type="noConversion"/>
  </si>
  <si>
    <t>수재민들 지원 함께합시다!</t>
    <phoneticPr fontId="1" type="noConversion"/>
  </si>
  <si>
    <t>1422</t>
    <phoneticPr fontId="1" type="noConversion"/>
  </si>
  <si>
    <t>view1</t>
    <phoneticPr fontId="1" type="noConversion"/>
  </si>
  <si>
    <t>view2</t>
    <phoneticPr fontId="1" type="noConversion"/>
  </si>
  <si>
    <t>view3</t>
    <phoneticPr fontId="1" type="noConversion"/>
  </si>
  <si>
    <t>view4</t>
    <phoneticPr fontId="1" type="noConversion"/>
  </si>
  <si>
    <t>view5</t>
    <phoneticPr fontId="1" type="noConversion"/>
  </si>
  <si>
    <t>조건</t>
    <phoneticPr fontId="1" type="noConversion"/>
  </si>
  <si>
    <t>A</t>
    <phoneticPr fontId="1" type="noConversion"/>
  </si>
  <si>
    <t>A01</t>
    <phoneticPr fontId="1" type="noConversion"/>
  </si>
  <si>
    <t>A02</t>
    <phoneticPr fontId="1" type="noConversion"/>
  </si>
  <si>
    <t>A03</t>
    <phoneticPr fontId="1" type="noConversion"/>
  </si>
  <si>
    <t>A04</t>
    <phoneticPr fontId="1" type="noConversion"/>
  </si>
  <si>
    <t>A05</t>
    <phoneticPr fontId="1" type="noConversion"/>
  </si>
  <si>
    <t>기모후드티</t>
    <phoneticPr fontId="1" type="noConversion"/>
  </si>
  <si>
    <t>love 반팔티</t>
    <phoneticPr fontId="1" type="noConversion"/>
  </si>
  <si>
    <t>조거팬츠</t>
    <phoneticPr fontId="1" type="noConversion"/>
  </si>
  <si>
    <t>어린이 양말</t>
    <phoneticPr fontId="1" type="noConversion"/>
  </si>
  <si>
    <t>맨투맨</t>
    <phoneticPr fontId="1" type="noConversion"/>
  </si>
  <si>
    <t>굿즈</t>
    <phoneticPr fontId="1" type="noConversion"/>
  </si>
  <si>
    <t>후원</t>
    <phoneticPr fontId="1" type="noConversion"/>
  </si>
  <si>
    <t>참여내역</t>
    <phoneticPr fontId="1" type="noConversion"/>
  </si>
  <si>
    <t>후원번호</t>
    <phoneticPr fontId="1" type="noConversion"/>
  </si>
  <si>
    <t>후원제목</t>
    <phoneticPr fontId="1" type="noConversion"/>
  </si>
  <si>
    <t>후원정보</t>
    <phoneticPr fontId="1" type="noConversion"/>
  </si>
  <si>
    <t>후원설명</t>
    <phoneticPr fontId="1" type="noConversion"/>
  </si>
  <si>
    <t>총모금액</t>
    <phoneticPr fontId="1" type="noConversion"/>
  </si>
  <si>
    <t>총참여인원</t>
    <phoneticPr fontId="1" type="noConversion"/>
  </si>
  <si>
    <t>키패드</t>
    <phoneticPr fontId="1" type="noConversion"/>
  </si>
  <si>
    <t>기준</t>
    <phoneticPr fontId="1" type="noConversion"/>
  </si>
  <si>
    <t>굿즈번호</t>
    <phoneticPr fontId="1" type="noConversion"/>
  </si>
  <si>
    <t>번호</t>
    <phoneticPr fontId="1" type="noConversion"/>
  </si>
  <si>
    <t>봉사활동 신청</t>
    <phoneticPr fontId="1" type="noConversion"/>
  </si>
  <si>
    <t>제목</t>
    <phoneticPr fontId="1" type="noConversion"/>
  </si>
  <si>
    <t>모집기관</t>
    <phoneticPr fontId="1" type="noConversion"/>
  </si>
  <si>
    <t>날짜</t>
    <phoneticPr fontId="1" type="noConversion"/>
  </si>
  <si>
    <t>모집인원</t>
    <phoneticPr fontId="1" type="noConversion"/>
  </si>
  <si>
    <t>번호</t>
    <phoneticPr fontId="1" type="noConversion"/>
  </si>
  <si>
    <t>A02</t>
    <phoneticPr fontId="1" type="noConversion"/>
  </si>
  <si>
    <t>봉사활동 수정/등록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</si>
</sst>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9" tint="0.39997558519241921"/>
      <name val="맑은 고딕"/>
      <family val="2"/>
      <charset val="129"/>
      <scheme val="minor"/>
    </font>
    <font>
      <sz val="26"/>
      <color theme="9" tint="0.3999755851924192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sz val="11"/>
      <color theme="7" tint="-0.249977111117893"/>
      <name val="맑은 고딕"/>
      <family val="2"/>
      <charset val="129"/>
      <scheme val="minor"/>
    </font>
    <font>
      <sz val="11"/>
      <color theme="1"/>
      <name val="Segoe UI Emoji"/>
      <family val="2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28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EEEE4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0" xfId="0" applyNumberFormat="1">
      <alignment vertical="center"/>
    </xf>
    <xf numFmtId="41" fontId="0" fillId="0" borderId="0" xfId="1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0" fillId="0" borderId="0" xfId="0" applyNumberFormat="1">
      <alignment vertical="center"/>
    </xf>
    <xf numFmtId="0" fontId="0" fillId="7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7" fillId="2" borderId="0" xfId="0" applyFont="1" applyFill="1">
      <alignment vertical="center"/>
    </xf>
    <xf numFmtId="0" fontId="0" fillId="2" borderId="4" xfId="0" applyFill="1" applyBorder="1" applyAlignment="1">
      <alignment horizontal="center" vertical="center"/>
    </xf>
    <xf numFmtId="14" fontId="0" fillId="2" borderId="4" xfId="0" applyNumberForma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10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41" fontId="0" fillId="0" borderId="0" xfId="1" applyFont="1">
      <alignment vertical="center"/>
    </xf>
    <xf numFmtId="0" fontId="0" fillId="0" borderId="0" xfId="0" applyNumberFormat="1" applyAlignment="1">
      <alignment horizontal="center" vertical="center"/>
    </xf>
    <xf numFmtId="0" fontId="11" fillId="7" borderId="0" xfId="0" applyFont="1" applyFill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11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0" fillId="7" borderId="1" xfId="0" applyFill="1" applyBorder="1">
      <alignment vertical="center"/>
    </xf>
    <xf numFmtId="14" fontId="0" fillId="0" borderId="1" xfId="0" applyNumberFormat="1" applyBorder="1">
      <alignment vertical="center"/>
    </xf>
    <xf numFmtId="14" fontId="0" fillId="2" borderId="0" xfId="0" applyNumberForma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5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56"/>
      <tableStyleElement type="headerRow" dxfId="55"/>
    </tableStyle>
  </tableStyles>
  <colors>
    <mruColors>
      <color rgb="FFEEEE4C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410088"/>
        <c:axId val="603410744"/>
      </c:barChart>
      <c:catAx>
        <c:axId val="603410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3410744"/>
        <c:crosses val="autoZero"/>
        <c:auto val="1"/>
        <c:lblAlgn val="ctr"/>
        <c:lblOffset val="100"/>
        <c:noMultiLvlLbl val="0"/>
      </c:catAx>
      <c:valAx>
        <c:axId val="6034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341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자료처리!$A$2:$B$2</c:f>
              <c:strCache>
                <c:ptCount val="2"/>
                <c:pt idx="0">
                  <c:v>후원</c:v>
                </c:pt>
                <c:pt idx="1">
                  <c:v>굿즈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114-443D-9806-A70CEE9DA0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114-443D-9806-A70CEE9DA0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자료처리!$A$2:$B$2</c:f>
              <c:strCache>
                <c:ptCount val="2"/>
                <c:pt idx="0">
                  <c:v>후원</c:v>
                </c:pt>
                <c:pt idx="1">
                  <c:v>굿즈</c:v>
                </c:pt>
              </c:strCache>
            </c:strRef>
          </c:cat>
          <c:val>
            <c:numRef>
              <c:f>자료처리!$A$3:$B$3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14-443D-9806-A70CEE9DA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4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image" Target="../media/image8.jpg"/><Relationship Id="rId1" Type="http://schemas.openxmlformats.org/officeDocument/2006/relationships/image" Target="../media/image7.jpeg"/><Relationship Id="rId6" Type="http://schemas.openxmlformats.org/officeDocument/2006/relationships/image" Target="../media/image12.jpg"/><Relationship Id="rId5" Type="http://schemas.openxmlformats.org/officeDocument/2006/relationships/image" Target="../media/image11.jpg"/><Relationship Id="rId4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447418</xdr:colOff>
      <xdr:row>4</xdr:row>
      <xdr:rowOff>184379</xdr:rowOff>
    </xdr:from>
    <xdr:ext cx="8428461" cy="3684470"/>
    <xdr:sp macro="" textlink="">
      <xdr:nvSpPr>
        <xdr:cNvPr id="5" name="직사각형 4"/>
        <xdr:cNvSpPr/>
      </xdr:nvSpPr>
      <xdr:spPr>
        <a:xfrm>
          <a:off x="1130977" y="1036026"/>
          <a:ext cx="8428461" cy="36844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ko-KR" alt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소중한 후원금은 </a:t>
          </a:r>
          <a:endParaRPr lang="en-US" altLang="ko-K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r>
            <a:rPr lang="ko-KR" alt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전 세계 도움이 필요한 곳에</a:t>
          </a:r>
          <a:r>
            <a:rPr lang="en-US" altLang="ko-K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/>
          </a:r>
          <a:br>
            <a:rPr lang="en-US" altLang="ko-K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ko-KR" alt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효율적으로 사용됩니다</a:t>
          </a:r>
          <a:r>
            <a:rPr lang="en-US" altLang="ko-K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.</a:t>
          </a:r>
        </a:p>
      </xdr:txBody>
    </xdr:sp>
    <xdr:clientData/>
  </xdr:oneCellAnchor>
  <xdr:twoCellAnchor>
    <xdr:from>
      <xdr:col>4</xdr:col>
      <xdr:colOff>605118</xdr:colOff>
      <xdr:row>8</xdr:row>
      <xdr:rowOff>22411</xdr:rowOff>
    </xdr:from>
    <xdr:to>
      <xdr:col>8</xdr:col>
      <xdr:colOff>44823</xdr:colOff>
      <xdr:row>10</xdr:row>
      <xdr:rowOff>67234</xdr:rowOff>
    </xdr:to>
    <xdr:sp macro="" textlink="">
      <xdr:nvSpPr>
        <xdr:cNvPr id="6" name="평행 사변형 5"/>
        <xdr:cNvSpPr/>
      </xdr:nvSpPr>
      <xdr:spPr>
        <a:xfrm>
          <a:off x="3339353" y="1725705"/>
          <a:ext cx="2173941" cy="470647"/>
        </a:xfrm>
        <a:prstGeom prst="parallelogram">
          <a:avLst/>
        </a:prstGeom>
        <a:solidFill>
          <a:schemeClr val="accent6">
            <a:lumMod val="40000"/>
            <a:lumOff val="60000"/>
            <a:alpha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403411</xdr:colOff>
      <xdr:row>19</xdr:row>
      <xdr:rowOff>44822</xdr:rowOff>
    </xdr:from>
    <xdr:to>
      <xdr:col>4</xdr:col>
      <xdr:colOff>526676</xdr:colOff>
      <xdr:row>21</xdr:row>
      <xdr:rowOff>89646</xdr:rowOff>
    </xdr:to>
    <xdr:sp macro="" textlink="">
      <xdr:nvSpPr>
        <xdr:cNvPr id="7" name="평행 사변형 6"/>
        <xdr:cNvSpPr/>
      </xdr:nvSpPr>
      <xdr:spPr>
        <a:xfrm>
          <a:off x="1086970" y="4090146"/>
          <a:ext cx="2173941" cy="470647"/>
        </a:xfrm>
        <a:prstGeom prst="parallelogram">
          <a:avLst/>
        </a:prstGeom>
        <a:solidFill>
          <a:schemeClr val="accent6">
            <a:lumMod val="40000"/>
            <a:lumOff val="60000"/>
            <a:alpha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18</xdr:col>
      <xdr:colOff>198502</xdr:colOff>
      <xdr:row>6</xdr:row>
      <xdr:rowOff>22411</xdr:rowOff>
    </xdr:from>
    <xdr:to>
      <xdr:col>20</xdr:col>
      <xdr:colOff>408214</xdr:colOff>
      <xdr:row>13</xdr:row>
      <xdr:rowOff>171683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44931" y="1247054"/>
          <a:ext cx="1570426" cy="1578022"/>
        </a:xfrm>
        <a:prstGeom prst="rect">
          <a:avLst/>
        </a:prstGeom>
      </xdr:spPr>
    </xdr:pic>
    <xdr:clientData/>
  </xdr:twoCellAnchor>
  <xdr:twoCellAnchor>
    <xdr:from>
      <xdr:col>18</xdr:col>
      <xdr:colOff>16806</xdr:colOff>
      <xdr:row>14</xdr:row>
      <xdr:rowOff>89646</xdr:rowOff>
    </xdr:from>
    <xdr:to>
      <xdr:col>20</xdr:col>
      <xdr:colOff>585107</xdr:colOff>
      <xdr:row>18</xdr:row>
      <xdr:rowOff>82546</xdr:rowOff>
    </xdr:to>
    <xdr:sp macro="[0]!Sheet7.명예의전당_Click" textlink="">
      <xdr:nvSpPr>
        <xdr:cNvPr id="10" name="모서리가 둥근 직사각형 9"/>
        <xdr:cNvSpPr/>
      </xdr:nvSpPr>
      <xdr:spPr>
        <a:xfrm>
          <a:off x="12263235" y="2947146"/>
          <a:ext cx="1929015" cy="80932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/>
            <a:t>명예의 전당</a:t>
          </a:r>
        </a:p>
      </xdr:txBody>
    </xdr:sp>
    <xdr:clientData/>
  </xdr:twoCellAnchor>
  <xdr:oneCellAnchor>
    <xdr:from>
      <xdr:col>1</xdr:col>
      <xdr:colOff>435429</xdr:colOff>
      <xdr:row>22</xdr:row>
      <xdr:rowOff>95250</xdr:rowOff>
    </xdr:from>
    <xdr:ext cx="4970271" cy="1422890"/>
    <xdr:sp macro="" textlink="">
      <xdr:nvSpPr>
        <xdr:cNvPr id="11" name="TextBox 10"/>
        <xdr:cNvSpPr txBox="1"/>
      </xdr:nvSpPr>
      <xdr:spPr>
        <a:xfrm>
          <a:off x="1115786" y="4585607"/>
          <a:ext cx="4970271" cy="1422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000"/>
            <a:t>가장 높은 송금률을 자랑하는 </a:t>
          </a:r>
          <a:r>
            <a:rPr lang="en-US" altLang="ko-KR" sz="2000"/>
            <a:t>GreenTown</a:t>
          </a:r>
          <a:r>
            <a:rPr lang="ko-KR" altLang="en-US" sz="2000"/>
            <a:t>은</a:t>
          </a:r>
          <a:r>
            <a:rPr lang="en-US" altLang="ko-KR" sz="2000"/>
            <a:t/>
          </a:r>
          <a:br>
            <a:rPr lang="en-US" altLang="ko-KR" sz="2000"/>
          </a:br>
          <a:r>
            <a:rPr lang="ko-KR" altLang="en-US" sz="2000"/>
            <a:t>후원금의 약</a:t>
          </a:r>
          <a:r>
            <a:rPr lang="en-US" altLang="ko-KR" sz="2000"/>
            <a:t>85%</a:t>
          </a:r>
          <a:r>
            <a:rPr lang="ko-KR" altLang="en-US" sz="2000"/>
            <a:t>를 활용해</a:t>
          </a:r>
          <a:endParaRPr lang="en-US" altLang="ko-KR" sz="2000"/>
        </a:p>
        <a:p>
          <a:r>
            <a:rPr lang="ko-KR" altLang="en-US" sz="2000"/>
            <a:t>도움이 필요한 모든 곳을 돕습니다</a:t>
          </a:r>
          <a:r>
            <a:rPr lang="en-US" altLang="ko-KR" sz="2000"/>
            <a:t>.</a:t>
          </a:r>
          <a:endParaRPr lang="ko-KR" altLang="en-US" sz="2000"/>
        </a:p>
      </xdr:txBody>
    </xdr:sp>
    <xdr:clientData/>
  </xdr:oneCellAnchor>
  <xdr:oneCellAnchor>
    <xdr:from>
      <xdr:col>3</xdr:col>
      <xdr:colOff>653144</xdr:colOff>
      <xdr:row>1</xdr:row>
      <xdr:rowOff>163286</xdr:rowOff>
    </xdr:from>
    <xdr:ext cx="1530868" cy="593304"/>
    <xdr:sp macro="[0]!Sheet7.Mypage_Click" textlink="">
      <xdr:nvSpPr>
        <xdr:cNvPr id="13" name="TextBox 12"/>
        <xdr:cNvSpPr txBox="1"/>
      </xdr:nvSpPr>
      <xdr:spPr>
        <a:xfrm>
          <a:off x="2694215" y="367393"/>
          <a:ext cx="1530868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3200"/>
            <a:t>Mypage</a:t>
          </a:r>
          <a:endParaRPr lang="ko-KR" altLang="en-US" sz="3200"/>
        </a:p>
      </xdr:txBody>
    </xdr:sp>
    <xdr:clientData/>
  </xdr:oneCellAnchor>
  <xdr:twoCellAnchor>
    <xdr:from>
      <xdr:col>1</xdr:col>
      <xdr:colOff>551488</xdr:colOff>
      <xdr:row>31</xdr:row>
      <xdr:rowOff>116861</xdr:rowOff>
    </xdr:from>
    <xdr:to>
      <xdr:col>6</xdr:col>
      <xdr:colOff>163286</xdr:colOff>
      <xdr:row>39</xdr:row>
      <xdr:rowOff>54428</xdr:rowOff>
    </xdr:to>
    <xdr:sp macro="[0]!Sheet7.후원하기_Click" textlink="">
      <xdr:nvSpPr>
        <xdr:cNvPr id="14" name="모서리가 둥근 직사각형 13"/>
        <xdr:cNvSpPr/>
      </xdr:nvSpPr>
      <xdr:spPr>
        <a:xfrm>
          <a:off x="1231845" y="6444182"/>
          <a:ext cx="3013584" cy="157042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후원하기</a:t>
          </a:r>
        </a:p>
      </xdr:txBody>
    </xdr:sp>
    <xdr:clientData/>
  </xdr:twoCellAnchor>
  <xdr:twoCellAnchor>
    <xdr:from>
      <xdr:col>6</xdr:col>
      <xdr:colOff>465309</xdr:colOff>
      <xdr:row>31</xdr:row>
      <xdr:rowOff>116861</xdr:rowOff>
    </xdr:from>
    <xdr:to>
      <xdr:col>11</xdr:col>
      <xdr:colOff>77107</xdr:colOff>
      <xdr:row>39</xdr:row>
      <xdr:rowOff>54428</xdr:rowOff>
    </xdr:to>
    <xdr:sp macro="[0]!Sheet7.굿즈구매하기_Click" textlink="">
      <xdr:nvSpPr>
        <xdr:cNvPr id="15" name="모서리가 둥근 직사각형 14"/>
        <xdr:cNvSpPr/>
      </xdr:nvSpPr>
      <xdr:spPr>
        <a:xfrm>
          <a:off x="4547452" y="6444182"/>
          <a:ext cx="3013584" cy="157042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굿즈 구매하기</a:t>
          </a:r>
        </a:p>
      </xdr:txBody>
    </xdr:sp>
    <xdr:clientData/>
  </xdr:twoCellAnchor>
  <xdr:twoCellAnchor>
    <xdr:from>
      <xdr:col>11</xdr:col>
      <xdr:colOff>379130</xdr:colOff>
      <xdr:row>31</xdr:row>
      <xdr:rowOff>116861</xdr:rowOff>
    </xdr:from>
    <xdr:to>
      <xdr:col>15</xdr:col>
      <xdr:colOff>671286</xdr:colOff>
      <xdr:row>39</xdr:row>
      <xdr:rowOff>54428</xdr:rowOff>
    </xdr:to>
    <xdr:sp macro="[0]!Sheet7.봉사활동_Click" textlink="">
      <xdr:nvSpPr>
        <xdr:cNvPr id="16" name="모서리가 둥근 직사각형 15"/>
        <xdr:cNvSpPr/>
      </xdr:nvSpPr>
      <xdr:spPr>
        <a:xfrm>
          <a:off x="7863059" y="6444182"/>
          <a:ext cx="3013584" cy="157042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봉사활동</a:t>
          </a:r>
        </a:p>
      </xdr:txBody>
    </xdr:sp>
    <xdr:clientData/>
  </xdr:twoCellAnchor>
  <xdr:twoCellAnchor>
    <xdr:from>
      <xdr:col>16</xdr:col>
      <xdr:colOff>292952</xdr:colOff>
      <xdr:row>31</xdr:row>
      <xdr:rowOff>116861</xdr:rowOff>
    </xdr:from>
    <xdr:to>
      <xdr:col>20</xdr:col>
      <xdr:colOff>585107</xdr:colOff>
      <xdr:row>39</xdr:row>
      <xdr:rowOff>54428</xdr:rowOff>
    </xdr:to>
    <xdr:sp macro="[0]!Sheet7.봉사활동후기_Click" textlink="">
      <xdr:nvSpPr>
        <xdr:cNvPr id="17" name="모서리가 둥근 직사각형 16"/>
        <xdr:cNvSpPr/>
      </xdr:nvSpPr>
      <xdr:spPr>
        <a:xfrm>
          <a:off x="11178666" y="6444182"/>
          <a:ext cx="3013584" cy="157042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봉사활동 후기</a:t>
          </a:r>
        </a:p>
      </xdr:txBody>
    </xdr:sp>
    <xdr:clientData/>
  </xdr:twoCellAnchor>
  <xdr:twoCellAnchor editAs="oneCell">
    <xdr:from>
      <xdr:col>17</xdr:col>
      <xdr:colOff>419426</xdr:colOff>
      <xdr:row>27</xdr:row>
      <xdr:rowOff>97685</xdr:rowOff>
    </xdr:from>
    <xdr:to>
      <xdr:col>20</xdr:col>
      <xdr:colOff>585107</xdr:colOff>
      <xdr:row>31</xdr:row>
      <xdr:rowOff>71736</xdr:rowOff>
    </xdr:to>
    <xdr:pic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85497" y="5608578"/>
          <a:ext cx="2206753" cy="790479"/>
        </a:xfrm>
        <a:prstGeom prst="rect">
          <a:avLst/>
        </a:prstGeom>
      </xdr:spPr>
    </xdr:pic>
    <xdr:clientData/>
  </xdr:twoCellAnchor>
  <xdr:oneCellAnchor>
    <xdr:from>
      <xdr:col>1</xdr:col>
      <xdr:colOff>530680</xdr:colOff>
      <xdr:row>1</xdr:row>
      <xdr:rowOff>163286</xdr:rowOff>
    </xdr:from>
    <xdr:ext cx="998287" cy="593304"/>
    <xdr:sp macro="[0]!Login_Click" textlink="">
      <xdr:nvSpPr>
        <xdr:cNvPr id="19" name="shp_login"/>
        <xdr:cNvSpPr txBox="1"/>
      </xdr:nvSpPr>
      <xdr:spPr>
        <a:xfrm>
          <a:off x="1216480" y="372836"/>
          <a:ext cx="998287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3200"/>
            <a:t>login</a:t>
          </a:r>
          <a:endParaRPr lang="ko-KR" altLang="en-US" sz="3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11206</xdr:colOff>
      <xdr:row>1</xdr:row>
      <xdr:rowOff>19050</xdr:rowOff>
    </xdr:from>
    <xdr:to>
      <xdr:col>9</xdr:col>
      <xdr:colOff>249331</xdr:colOff>
      <xdr:row>5</xdr:row>
      <xdr:rowOff>3129</xdr:rowOff>
    </xdr:to>
    <xdr:pic macro="[0]!logo_Click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2559" y="231962"/>
          <a:ext cx="2288801" cy="835725"/>
        </a:xfrm>
        <a:prstGeom prst="rect">
          <a:avLst/>
        </a:prstGeom>
      </xdr:spPr>
    </xdr:pic>
    <xdr:clientData/>
  </xdr:twoCellAnchor>
  <xdr:twoCellAnchor>
    <xdr:from>
      <xdr:col>4</xdr:col>
      <xdr:colOff>226825</xdr:colOff>
      <xdr:row>10</xdr:row>
      <xdr:rowOff>165382</xdr:rowOff>
    </xdr:from>
    <xdr:to>
      <xdr:col>5</xdr:col>
      <xdr:colOff>277444</xdr:colOff>
      <xdr:row>14</xdr:row>
      <xdr:rowOff>165382</xdr:rowOff>
    </xdr:to>
    <xdr:sp macro="[0]!Sheet8.이전" textlink="">
      <xdr:nvSpPr>
        <xdr:cNvPr id="10" name="이등변 삼각형 9"/>
        <xdr:cNvSpPr/>
      </xdr:nvSpPr>
      <xdr:spPr>
        <a:xfrm rot="16200000">
          <a:off x="2902325" y="2353235"/>
          <a:ext cx="851647" cy="734178"/>
        </a:xfrm>
        <a:prstGeom prst="triangle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372502</xdr:colOff>
      <xdr:row>10</xdr:row>
      <xdr:rowOff>165383</xdr:rowOff>
    </xdr:from>
    <xdr:to>
      <xdr:col>22</xdr:col>
      <xdr:colOff>423121</xdr:colOff>
      <xdr:row>14</xdr:row>
      <xdr:rowOff>165383</xdr:rowOff>
    </xdr:to>
    <xdr:sp macro="[0]!Sheet8.다음" textlink="">
      <xdr:nvSpPr>
        <xdr:cNvPr id="11" name="이등변 삼각형 10"/>
        <xdr:cNvSpPr/>
      </xdr:nvSpPr>
      <xdr:spPr>
        <a:xfrm rot="5400000">
          <a:off x="14668502" y="2353236"/>
          <a:ext cx="851647" cy="734178"/>
        </a:xfrm>
        <a:prstGeom prst="triangle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19</xdr:col>
      <xdr:colOff>627529</xdr:colOff>
      <xdr:row>1</xdr:row>
      <xdr:rowOff>89645</xdr:rowOff>
    </xdr:from>
    <xdr:ext cx="683970" cy="668966"/>
    <xdr:sp macro="" textlink="$V$1">
      <xdr:nvSpPr>
        <xdr:cNvPr id="12" name="TextBox 11"/>
        <xdr:cNvSpPr txBox="1"/>
      </xdr:nvSpPr>
      <xdr:spPr>
        <a:xfrm>
          <a:off x="13615147" y="582704"/>
          <a:ext cx="683970" cy="66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52BAC1F-7EB5-4FB6-8A87-992FBA7E3CEF}" type="TxLink">
            <a:rPr lang="en-US" altLang="en-US" sz="2600" b="0" i="0" u="none" strike="noStrike">
              <a:solidFill>
                <a:srgbClr val="A9D08E"/>
              </a:solidFill>
              <a:latin typeface="맑은 고딕"/>
              <a:ea typeface="맑은 고딕"/>
            </a:rPr>
            <a:pPr/>
            <a:t>1/7</a:t>
          </a:fld>
          <a:endParaRPr lang="ko-KR" altLang="en-US" sz="2000">
            <a:solidFill>
              <a:schemeClr val="accent6"/>
            </a:solidFill>
          </a:endParaRPr>
        </a:p>
      </xdr:txBody>
    </xdr:sp>
    <xdr:clientData/>
  </xdr:oneCellAnchor>
  <xdr:twoCellAnchor>
    <xdr:from>
      <xdr:col>5</xdr:col>
      <xdr:colOff>651062</xdr:colOff>
      <xdr:row>5</xdr:row>
      <xdr:rowOff>119903</xdr:rowOff>
    </xdr:from>
    <xdr:to>
      <xdr:col>10</xdr:col>
      <xdr:colOff>245409</xdr:colOff>
      <xdr:row>21</xdr:row>
      <xdr:rowOff>75079</xdr:rowOff>
    </xdr:to>
    <xdr:grpSp>
      <xdr:nvGrpSpPr>
        <xdr:cNvPr id="18" name="그룹1"/>
        <xdr:cNvGrpSpPr/>
      </xdr:nvGrpSpPr>
      <xdr:grpSpPr>
        <a:xfrm>
          <a:off x="4080062" y="1453403"/>
          <a:ext cx="3023347" cy="3307976"/>
          <a:chOff x="4137212" y="1148603"/>
          <a:chExt cx="3023347" cy="3307976"/>
        </a:xfrm>
      </xdr:grpSpPr>
      <xdr:sp macro="" textlink="">
        <xdr:nvSpPr>
          <xdr:cNvPr id="3" name="사진"/>
          <xdr:cNvSpPr/>
        </xdr:nvSpPr>
        <xdr:spPr>
          <a:xfrm>
            <a:off x="4137212" y="1148603"/>
            <a:ext cx="3023347" cy="2215403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$Z$3">
        <xdr:nvSpPr>
          <xdr:cNvPr id="7" name="설명1"/>
          <xdr:cNvSpPr/>
        </xdr:nvSpPr>
        <xdr:spPr>
          <a:xfrm>
            <a:off x="4137212" y="3375211"/>
            <a:ext cx="3023347" cy="1081368"/>
          </a:xfrm>
          <a:prstGeom prst="rect">
            <a:avLst/>
          </a:prstGeom>
          <a:ln w="1905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fld id="{EB820AF2-98AC-4444-BE89-67CDC24302B8}" type="TxLink">
              <a:rPr lang="ko-KR" altLang="en-US" sz="1100" b="0" i="0" u="none" strike="noStrike">
                <a:solidFill>
                  <a:srgbClr val="A9D08E"/>
                </a:solidFill>
                <a:latin typeface="맑은 고딕"/>
                <a:ea typeface="맑은 고딕"/>
              </a:rPr>
              <a:pPr algn="l"/>
              <a:t>우크라이나 어린이에게 당신이 필요합니다.</a:t>
            </a:fld>
            <a:endParaRPr lang="ko-KR" altLang="en-US" sz="1100">
              <a:solidFill>
                <a:schemeClr val="accent6"/>
              </a:solidFill>
            </a:endParaRPr>
          </a:p>
        </xdr:txBody>
      </xdr:sp>
      <xdr:sp macro="[0]!Sheet8.참여내역_Click" textlink="">
        <xdr:nvSpPr>
          <xdr:cNvPr id="16" name="1"/>
          <xdr:cNvSpPr/>
        </xdr:nvSpPr>
        <xdr:spPr>
          <a:xfrm>
            <a:off x="5520017" y="3839135"/>
            <a:ext cx="753036" cy="595033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>
                <a:solidFill>
                  <a:schemeClr val="bg1"/>
                </a:solidFill>
              </a:rPr>
              <a:t>참여</a:t>
            </a:r>
            <a:r>
              <a:rPr lang="en-US" altLang="ko-KR" sz="1100">
                <a:solidFill>
                  <a:schemeClr val="bg1"/>
                </a:solidFill>
              </a:rPr>
              <a:t/>
            </a:r>
            <a:br>
              <a:rPr lang="en-US" altLang="ko-KR" sz="1100">
                <a:solidFill>
                  <a:schemeClr val="bg1"/>
                </a:solidFill>
              </a:rPr>
            </a:br>
            <a:r>
              <a:rPr lang="ko-KR" altLang="en-US" sz="1100">
                <a:solidFill>
                  <a:schemeClr val="bg1"/>
                </a:solidFill>
              </a:rPr>
              <a:t>내역</a:t>
            </a:r>
          </a:p>
        </xdr:txBody>
      </xdr:sp>
      <xdr:sp macro="[0]!Sheet8.참여하기_Click" textlink="">
        <xdr:nvSpPr>
          <xdr:cNvPr id="17" name="1"/>
          <xdr:cNvSpPr/>
        </xdr:nvSpPr>
        <xdr:spPr>
          <a:xfrm>
            <a:off x="6385112" y="3839135"/>
            <a:ext cx="753035" cy="595034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>
                <a:solidFill>
                  <a:schemeClr val="bg1"/>
                </a:solidFill>
              </a:rPr>
              <a:t>참여</a:t>
            </a:r>
            <a:r>
              <a:rPr lang="en-US" altLang="ko-KR" sz="1100">
                <a:solidFill>
                  <a:schemeClr val="bg1"/>
                </a:solidFill>
              </a:rPr>
              <a:t/>
            </a:r>
            <a:br>
              <a:rPr lang="en-US" altLang="ko-KR" sz="1100">
                <a:solidFill>
                  <a:schemeClr val="bg1"/>
                </a:solidFill>
              </a:rPr>
            </a:br>
            <a:r>
              <a:rPr lang="ko-KR" altLang="en-US" sz="1100">
                <a:solidFill>
                  <a:schemeClr val="bg1"/>
                </a:solidFill>
              </a:rPr>
              <a:t>하기</a:t>
            </a:r>
          </a:p>
        </xdr:txBody>
      </xdr:sp>
    </xdr:grpSp>
    <xdr:clientData/>
  </xdr:twoCellAnchor>
  <xdr:twoCellAnchor>
    <xdr:from>
      <xdr:col>11</xdr:col>
      <xdr:colOff>98612</xdr:colOff>
      <xdr:row>5</xdr:row>
      <xdr:rowOff>100853</xdr:rowOff>
    </xdr:from>
    <xdr:to>
      <xdr:col>15</xdr:col>
      <xdr:colOff>378759</xdr:colOff>
      <xdr:row>21</xdr:row>
      <xdr:rowOff>56029</xdr:rowOff>
    </xdr:to>
    <xdr:grpSp>
      <xdr:nvGrpSpPr>
        <xdr:cNvPr id="19" name="그룹2"/>
        <xdr:cNvGrpSpPr/>
      </xdr:nvGrpSpPr>
      <xdr:grpSpPr>
        <a:xfrm>
          <a:off x="7642412" y="1434353"/>
          <a:ext cx="3023347" cy="3307976"/>
          <a:chOff x="4137212" y="1148603"/>
          <a:chExt cx="3023347" cy="3307976"/>
        </a:xfrm>
      </xdr:grpSpPr>
      <xdr:sp macro="" textlink="">
        <xdr:nvSpPr>
          <xdr:cNvPr id="20" name="사진"/>
          <xdr:cNvSpPr/>
        </xdr:nvSpPr>
        <xdr:spPr>
          <a:xfrm>
            <a:off x="4137212" y="1148603"/>
            <a:ext cx="3023347" cy="2215403"/>
          </a:xfrm>
          <a:prstGeom prst="rect">
            <a:avLst/>
          </a:prstGeom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$AA$3">
        <xdr:nvSpPr>
          <xdr:cNvPr id="21" name="설명1"/>
          <xdr:cNvSpPr/>
        </xdr:nvSpPr>
        <xdr:spPr>
          <a:xfrm>
            <a:off x="4137212" y="3375211"/>
            <a:ext cx="3023347" cy="1081368"/>
          </a:xfrm>
          <a:prstGeom prst="rect">
            <a:avLst/>
          </a:prstGeom>
          <a:ln w="1905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fld id="{55633DE1-16AA-4EFF-A37C-2B5C4D38ECDE}" type="TxLink">
              <a:rPr lang="ko-KR" altLang="en-US" sz="1100" b="0" i="0" u="none" strike="noStrike">
                <a:solidFill>
                  <a:srgbClr val="A9D08E"/>
                </a:solidFill>
                <a:latin typeface="맑은 고딕"/>
                <a:ea typeface="맑은 고딕"/>
              </a:rPr>
              <a:pPr algn="l"/>
              <a:t>지진으로 고통받는 아이티를 도와주세요</a:t>
            </a:fld>
            <a:endParaRPr lang="ko-KR" altLang="en-US" sz="1100">
              <a:solidFill>
                <a:schemeClr val="accent6"/>
              </a:solidFill>
            </a:endParaRPr>
          </a:p>
        </xdr:txBody>
      </xdr:sp>
      <xdr:sp macro="[0]!Sheet8.참여내역_Click" textlink="">
        <xdr:nvSpPr>
          <xdr:cNvPr id="22" name="2"/>
          <xdr:cNvSpPr/>
        </xdr:nvSpPr>
        <xdr:spPr>
          <a:xfrm>
            <a:off x="5520017" y="3839135"/>
            <a:ext cx="753036" cy="595033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>
                <a:solidFill>
                  <a:schemeClr val="bg1"/>
                </a:solidFill>
              </a:rPr>
              <a:t>참여</a:t>
            </a:r>
            <a:r>
              <a:rPr lang="en-US" altLang="ko-KR" sz="1100">
                <a:solidFill>
                  <a:schemeClr val="bg1"/>
                </a:solidFill>
              </a:rPr>
              <a:t/>
            </a:r>
            <a:br>
              <a:rPr lang="en-US" altLang="ko-KR" sz="1100">
                <a:solidFill>
                  <a:schemeClr val="bg1"/>
                </a:solidFill>
              </a:rPr>
            </a:br>
            <a:r>
              <a:rPr lang="ko-KR" altLang="en-US" sz="1100">
                <a:solidFill>
                  <a:schemeClr val="bg1"/>
                </a:solidFill>
              </a:rPr>
              <a:t>내역</a:t>
            </a:r>
          </a:p>
        </xdr:txBody>
      </xdr:sp>
      <xdr:sp macro="[0]!Sheet8.참여하기_Click" textlink="">
        <xdr:nvSpPr>
          <xdr:cNvPr id="23" name="2"/>
          <xdr:cNvSpPr/>
        </xdr:nvSpPr>
        <xdr:spPr>
          <a:xfrm>
            <a:off x="6385112" y="3839135"/>
            <a:ext cx="753035" cy="595034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>
                <a:solidFill>
                  <a:schemeClr val="bg1"/>
                </a:solidFill>
              </a:rPr>
              <a:t>참여</a:t>
            </a:r>
            <a:r>
              <a:rPr lang="en-US" altLang="ko-KR" sz="1100">
                <a:solidFill>
                  <a:schemeClr val="bg1"/>
                </a:solidFill>
              </a:rPr>
              <a:t/>
            </a:r>
            <a:br>
              <a:rPr lang="en-US" altLang="ko-KR" sz="1100">
                <a:solidFill>
                  <a:schemeClr val="bg1"/>
                </a:solidFill>
              </a:rPr>
            </a:br>
            <a:r>
              <a:rPr lang="ko-KR" altLang="en-US" sz="1100">
                <a:solidFill>
                  <a:schemeClr val="bg1"/>
                </a:solidFill>
              </a:rPr>
              <a:t>하기</a:t>
            </a:r>
          </a:p>
        </xdr:txBody>
      </xdr:sp>
    </xdr:grpSp>
    <xdr:clientData/>
  </xdr:twoCellAnchor>
  <xdr:twoCellAnchor>
    <xdr:from>
      <xdr:col>16</xdr:col>
      <xdr:colOff>327212</xdr:colOff>
      <xdr:row>5</xdr:row>
      <xdr:rowOff>100853</xdr:rowOff>
    </xdr:from>
    <xdr:to>
      <xdr:col>20</xdr:col>
      <xdr:colOff>607359</xdr:colOff>
      <xdr:row>21</xdr:row>
      <xdr:rowOff>56029</xdr:rowOff>
    </xdr:to>
    <xdr:grpSp>
      <xdr:nvGrpSpPr>
        <xdr:cNvPr id="24" name="그룹3"/>
        <xdr:cNvGrpSpPr/>
      </xdr:nvGrpSpPr>
      <xdr:grpSpPr>
        <a:xfrm>
          <a:off x="11300012" y="1434353"/>
          <a:ext cx="3023347" cy="3307976"/>
          <a:chOff x="4137212" y="1148603"/>
          <a:chExt cx="3023347" cy="3307976"/>
        </a:xfrm>
      </xdr:grpSpPr>
      <xdr:sp macro="" textlink="">
        <xdr:nvSpPr>
          <xdr:cNvPr id="25" name="사진"/>
          <xdr:cNvSpPr/>
        </xdr:nvSpPr>
        <xdr:spPr>
          <a:xfrm>
            <a:off x="4137212" y="1148603"/>
            <a:ext cx="3023347" cy="2215403"/>
          </a:xfrm>
          <a:prstGeom prst="rect">
            <a:avLst/>
          </a:prstGeom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$AB$3">
        <xdr:nvSpPr>
          <xdr:cNvPr id="26" name="설명1"/>
          <xdr:cNvSpPr/>
        </xdr:nvSpPr>
        <xdr:spPr>
          <a:xfrm>
            <a:off x="4137212" y="3375211"/>
            <a:ext cx="3023347" cy="1081368"/>
          </a:xfrm>
          <a:prstGeom prst="rect">
            <a:avLst/>
          </a:prstGeom>
          <a:ln w="1905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fld id="{49087662-FB17-49D5-AE56-CE520D44A8D1}" type="TxLink">
              <a:rPr lang="ko-KR" altLang="en-US" sz="1100" b="0" i="0" u="none" strike="noStrike">
                <a:solidFill>
                  <a:srgbClr val="A9D08E"/>
                </a:solidFill>
                <a:latin typeface="맑은 고딕"/>
                <a:ea typeface="맑은 고딕"/>
              </a:rPr>
              <a:pPr algn="l"/>
              <a:t>날아라! 어린이의 꿈</a:t>
            </a:fld>
            <a:endParaRPr lang="ko-KR" altLang="en-US" sz="1100">
              <a:solidFill>
                <a:schemeClr val="accent6"/>
              </a:solidFill>
            </a:endParaRPr>
          </a:p>
        </xdr:txBody>
      </xdr:sp>
      <xdr:sp macro="[0]!Sheet8.참여내역_Click" textlink="">
        <xdr:nvSpPr>
          <xdr:cNvPr id="27" name="3"/>
          <xdr:cNvSpPr/>
        </xdr:nvSpPr>
        <xdr:spPr>
          <a:xfrm>
            <a:off x="5520017" y="3839135"/>
            <a:ext cx="753036" cy="595033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>
                <a:solidFill>
                  <a:schemeClr val="bg1"/>
                </a:solidFill>
              </a:rPr>
              <a:t>참여</a:t>
            </a:r>
            <a:r>
              <a:rPr lang="en-US" altLang="ko-KR" sz="1100">
                <a:solidFill>
                  <a:schemeClr val="bg1"/>
                </a:solidFill>
              </a:rPr>
              <a:t/>
            </a:r>
            <a:br>
              <a:rPr lang="en-US" altLang="ko-KR" sz="1100">
                <a:solidFill>
                  <a:schemeClr val="bg1"/>
                </a:solidFill>
              </a:rPr>
            </a:br>
            <a:r>
              <a:rPr lang="ko-KR" altLang="en-US" sz="1100">
                <a:solidFill>
                  <a:schemeClr val="bg1"/>
                </a:solidFill>
              </a:rPr>
              <a:t>내역</a:t>
            </a:r>
          </a:p>
        </xdr:txBody>
      </xdr:sp>
      <xdr:sp macro="[0]!Sheet8.참여하기_Click" textlink="">
        <xdr:nvSpPr>
          <xdr:cNvPr id="28" name="3"/>
          <xdr:cNvSpPr/>
        </xdr:nvSpPr>
        <xdr:spPr>
          <a:xfrm>
            <a:off x="6385112" y="3839135"/>
            <a:ext cx="753035" cy="595034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>
                <a:solidFill>
                  <a:schemeClr val="bg1"/>
                </a:solidFill>
              </a:rPr>
              <a:t>참여</a:t>
            </a:r>
            <a:r>
              <a:rPr lang="en-US" altLang="ko-KR" sz="1100">
                <a:solidFill>
                  <a:schemeClr val="bg1"/>
                </a:solidFill>
              </a:rPr>
              <a:t/>
            </a:r>
            <a:br>
              <a:rPr lang="en-US" altLang="ko-KR" sz="1100">
                <a:solidFill>
                  <a:schemeClr val="bg1"/>
                </a:solidFill>
              </a:rPr>
            </a:br>
            <a:r>
              <a:rPr lang="ko-KR" altLang="en-US" sz="1100">
                <a:solidFill>
                  <a:schemeClr val="bg1"/>
                </a:solidFill>
              </a:rPr>
              <a:t>하기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133629</xdr:colOff>
      <xdr:row>0</xdr:row>
      <xdr:rowOff>114301</xdr:rowOff>
    </xdr:from>
    <xdr:to>
      <xdr:col>3</xdr:col>
      <xdr:colOff>234543</xdr:colOff>
      <xdr:row>3</xdr:row>
      <xdr:rowOff>151016</xdr:rowOff>
    </xdr:to>
    <xdr:sp macro="[0]!Sheet9.카테고리_Click" textlink="">
      <xdr:nvSpPr>
        <xdr:cNvPr id="2" name="A"/>
        <xdr:cNvSpPr/>
      </xdr:nvSpPr>
      <xdr:spPr>
        <a:xfrm>
          <a:off x="817188" y="114301"/>
          <a:ext cx="1468031" cy="675450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bg1"/>
              </a:solidFill>
            </a:rPr>
            <a:t>의류</a:t>
          </a:r>
        </a:p>
      </xdr:txBody>
    </xdr:sp>
    <xdr:clientData/>
  </xdr:twoCellAnchor>
  <xdr:twoCellAnchor>
    <xdr:from>
      <xdr:col>1</xdr:col>
      <xdr:colOff>122898</xdr:colOff>
      <xdr:row>4</xdr:row>
      <xdr:rowOff>153322</xdr:rowOff>
    </xdr:from>
    <xdr:to>
      <xdr:col>3</xdr:col>
      <xdr:colOff>223812</xdr:colOff>
      <xdr:row>7</xdr:row>
      <xdr:rowOff>190037</xdr:rowOff>
    </xdr:to>
    <xdr:sp macro="[0]!Sheet9.카테고리_Click" textlink="">
      <xdr:nvSpPr>
        <xdr:cNvPr id="3" name="B"/>
        <xdr:cNvSpPr/>
      </xdr:nvSpPr>
      <xdr:spPr>
        <a:xfrm>
          <a:off x="806457" y="1004969"/>
          <a:ext cx="1468031" cy="675450"/>
        </a:xfrm>
        <a:prstGeom prst="roundRect">
          <a:avLst/>
        </a:prstGeom>
        <a:solidFill>
          <a:srgbClr val="E2EFD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bg1"/>
              </a:solidFill>
            </a:rPr>
            <a:t>모자</a:t>
          </a:r>
        </a:p>
      </xdr:txBody>
    </xdr:sp>
    <xdr:clientData/>
  </xdr:twoCellAnchor>
  <xdr:twoCellAnchor>
    <xdr:from>
      <xdr:col>1</xdr:col>
      <xdr:colOff>101956</xdr:colOff>
      <xdr:row>8</xdr:row>
      <xdr:rowOff>192343</xdr:rowOff>
    </xdr:from>
    <xdr:to>
      <xdr:col>3</xdr:col>
      <xdr:colOff>202611</xdr:colOff>
      <xdr:row>12</xdr:row>
      <xdr:rowOff>24950</xdr:rowOff>
    </xdr:to>
    <xdr:sp macro="[0]!Sheet9.카테고리_Click" textlink="">
      <xdr:nvSpPr>
        <xdr:cNvPr id="4" name="C"/>
        <xdr:cNvSpPr/>
      </xdr:nvSpPr>
      <xdr:spPr>
        <a:xfrm>
          <a:off x="785515" y="1895637"/>
          <a:ext cx="1467772" cy="684254"/>
        </a:xfrm>
        <a:prstGeom prst="roundRect">
          <a:avLst/>
        </a:prstGeom>
        <a:solidFill>
          <a:srgbClr val="E2EFD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bg1"/>
              </a:solidFill>
            </a:rPr>
            <a:t>폰케이스</a:t>
          </a:r>
        </a:p>
      </xdr:txBody>
    </xdr:sp>
    <xdr:clientData/>
  </xdr:twoCellAnchor>
  <xdr:twoCellAnchor>
    <xdr:from>
      <xdr:col>1</xdr:col>
      <xdr:colOff>112427</xdr:colOff>
      <xdr:row>13</xdr:row>
      <xdr:rowOff>27256</xdr:rowOff>
    </xdr:from>
    <xdr:to>
      <xdr:col>3</xdr:col>
      <xdr:colOff>213082</xdr:colOff>
      <xdr:row>16</xdr:row>
      <xdr:rowOff>72775</xdr:rowOff>
    </xdr:to>
    <xdr:sp macro="[0]!Sheet9.카테고리_Click" textlink="">
      <xdr:nvSpPr>
        <xdr:cNvPr id="5" name="D"/>
        <xdr:cNvSpPr/>
      </xdr:nvSpPr>
      <xdr:spPr>
        <a:xfrm>
          <a:off x="795986" y="2795109"/>
          <a:ext cx="1467772" cy="684254"/>
        </a:xfrm>
        <a:prstGeom prst="roundRect">
          <a:avLst/>
        </a:prstGeom>
        <a:solidFill>
          <a:srgbClr val="E2EFD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bg1"/>
              </a:solidFill>
            </a:rPr>
            <a:t>팔찌</a:t>
          </a:r>
          <a:r>
            <a:rPr lang="en-US" altLang="ko-KR" sz="1600">
              <a:solidFill>
                <a:schemeClr val="bg1"/>
              </a:solidFill>
            </a:rPr>
            <a:t>/</a:t>
          </a:r>
          <a:r>
            <a:rPr lang="ko-KR" altLang="en-US" sz="1600">
              <a:solidFill>
                <a:schemeClr val="bg1"/>
              </a:solidFill>
            </a:rPr>
            <a:t>반지</a:t>
          </a:r>
        </a:p>
      </xdr:txBody>
    </xdr:sp>
    <xdr:clientData/>
  </xdr:twoCellAnchor>
  <xdr:twoCellAnchor editAs="oneCell">
    <xdr:from>
      <xdr:col>1</xdr:col>
      <xdr:colOff>133629</xdr:colOff>
      <xdr:row>17</xdr:row>
      <xdr:rowOff>75080</xdr:rowOff>
    </xdr:from>
    <xdr:to>
      <xdr:col>3</xdr:col>
      <xdr:colOff>192140</xdr:colOff>
      <xdr:row>19</xdr:row>
      <xdr:rowOff>147153</xdr:rowOff>
    </xdr:to>
    <xdr:pic macro="[0]!logo_Click"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188" y="3694580"/>
          <a:ext cx="1425628" cy="497896"/>
        </a:xfrm>
        <a:prstGeom prst="rect">
          <a:avLst/>
        </a:prstGeom>
      </xdr:spPr>
    </xdr:pic>
    <xdr:clientData/>
  </xdr:twoCellAnchor>
  <xdr:twoCellAnchor>
    <xdr:from>
      <xdr:col>3</xdr:col>
      <xdr:colOff>493059</xdr:colOff>
      <xdr:row>0</xdr:row>
      <xdr:rowOff>190500</xdr:rowOff>
    </xdr:from>
    <xdr:to>
      <xdr:col>7</xdr:col>
      <xdr:colOff>515470</xdr:colOff>
      <xdr:row>16</xdr:row>
      <xdr:rowOff>69443</xdr:rowOff>
    </xdr:to>
    <xdr:grpSp>
      <xdr:nvGrpSpPr>
        <xdr:cNvPr id="10" name="그룹1"/>
        <xdr:cNvGrpSpPr/>
      </xdr:nvGrpSpPr>
      <xdr:grpSpPr>
        <a:xfrm>
          <a:off x="2534130" y="190500"/>
          <a:ext cx="2743840" cy="3199086"/>
          <a:chOff x="2543735" y="190500"/>
          <a:chExt cx="2756647" cy="3281941"/>
        </a:xfrm>
      </xdr:grpSpPr>
      <xdr:sp macro="[0]!Sheet9.굿즈_Click" textlink="">
        <xdr:nvSpPr>
          <xdr:cNvPr id="8" name="A01"/>
          <xdr:cNvSpPr/>
        </xdr:nvSpPr>
        <xdr:spPr>
          <a:xfrm>
            <a:off x="2543735" y="190500"/>
            <a:ext cx="2756647" cy="2756647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9.굿즈_Click" textlink="$AF$3">
        <xdr:nvSpPr>
          <xdr:cNvPr id="9" name="A01"/>
          <xdr:cNvSpPr txBox="1"/>
        </xdr:nvSpPr>
        <xdr:spPr>
          <a:xfrm>
            <a:off x="2991971" y="3059206"/>
            <a:ext cx="1893794" cy="4132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B7ADCF06-EDE9-48D6-BC36-D799DD4BFA30}" type="TxLink">
              <a:rPr lang="ko-KR" altLang="en-US" sz="14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기모후드티</a:t>
            </a:fld>
            <a:endParaRPr lang="ko-KR" altLang="en-US" sz="1100"/>
          </a:p>
        </xdr:txBody>
      </xdr:sp>
    </xdr:grpSp>
    <xdr:clientData/>
  </xdr:twoCellAnchor>
  <xdr:twoCellAnchor>
    <xdr:from>
      <xdr:col>8</xdr:col>
      <xdr:colOff>133069</xdr:colOff>
      <xdr:row>0</xdr:row>
      <xdr:rowOff>190500</xdr:rowOff>
    </xdr:from>
    <xdr:to>
      <xdr:col>12</xdr:col>
      <xdr:colOff>155481</xdr:colOff>
      <xdr:row>16</xdr:row>
      <xdr:rowOff>69443</xdr:rowOff>
    </xdr:to>
    <xdr:grpSp>
      <xdr:nvGrpSpPr>
        <xdr:cNvPr id="11" name="그룹2"/>
        <xdr:cNvGrpSpPr/>
      </xdr:nvGrpSpPr>
      <xdr:grpSpPr>
        <a:xfrm>
          <a:off x="5575926" y="190500"/>
          <a:ext cx="2743841" cy="3199086"/>
          <a:chOff x="2543735" y="190500"/>
          <a:chExt cx="2756647" cy="3281941"/>
        </a:xfrm>
      </xdr:grpSpPr>
      <xdr:sp macro="[0]!Sheet9.굿즈_Click" textlink="">
        <xdr:nvSpPr>
          <xdr:cNvPr id="12" name="A02"/>
          <xdr:cNvSpPr/>
        </xdr:nvSpPr>
        <xdr:spPr>
          <a:xfrm>
            <a:off x="2543735" y="190500"/>
            <a:ext cx="2756647" cy="2756647"/>
          </a:xfrm>
          <a:prstGeom prst="rect">
            <a:avLst/>
          </a:prstGeom>
          <a:blipFill>
            <a:blip xmlns:r="http://schemas.openxmlformats.org/officeDocument/2006/relationships" r:embed="rId3"/>
            <a:stretch>
              <a:fillRect/>
            </a:stretch>
          </a:blip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9.굿즈_Click" textlink="$AG$3">
        <xdr:nvSpPr>
          <xdr:cNvPr id="13" name="A02"/>
          <xdr:cNvSpPr txBox="1"/>
        </xdr:nvSpPr>
        <xdr:spPr>
          <a:xfrm>
            <a:off x="2991971" y="3059206"/>
            <a:ext cx="1893794" cy="4132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E06D8A81-6639-4672-83B6-35FB65E54F4B}" type="TxLink">
              <a:rPr lang="en-US" altLang="en-US" sz="14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love 반팔티</a:t>
            </a:fld>
            <a:endParaRPr lang="ko-KR" altLang="en-US" sz="1100"/>
          </a:p>
        </xdr:txBody>
      </xdr:sp>
    </xdr:grpSp>
    <xdr:clientData/>
  </xdr:twoCellAnchor>
  <xdr:twoCellAnchor>
    <xdr:from>
      <xdr:col>12</xdr:col>
      <xdr:colOff>494259</xdr:colOff>
      <xdr:row>0</xdr:row>
      <xdr:rowOff>190500</xdr:rowOff>
    </xdr:from>
    <xdr:to>
      <xdr:col>16</xdr:col>
      <xdr:colOff>513469</xdr:colOff>
      <xdr:row>16</xdr:row>
      <xdr:rowOff>69443</xdr:rowOff>
    </xdr:to>
    <xdr:grpSp>
      <xdr:nvGrpSpPr>
        <xdr:cNvPr id="14" name="그룹3"/>
        <xdr:cNvGrpSpPr/>
      </xdr:nvGrpSpPr>
      <xdr:grpSpPr>
        <a:xfrm>
          <a:off x="8658545" y="190500"/>
          <a:ext cx="2740638" cy="3199086"/>
          <a:chOff x="2543735" y="190500"/>
          <a:chExt cx="2756647" cy="3281941"/>
        </a:xfrm>
      </xdr:grpSpPr>
      <xdr:sp macro="[0]!Sheet9.굿즈_Click" textlink="">
        <xdr:nvSpPr>
          <xdr:cNvPr id="15" name="A03"/>
          <xdr:cNvSpPr/>
        </xdr:nvSpPr>
        <xdr:spPr>
          <a:xfrm>
            <a:off x="2543735" y="190500"/>
            <a:ext cx="2756647" cy="2756647"/>
          </a:xfrm>
          <a:prstGeom prst="rect">
            <a:avLst/>
          </a:prstGeom>
          <a:blipFill>
            <a:blip xmlns:r="http://schemas.openxmlformats.org/officeDocument/2006/relationships" r:embed="rId4"/>
            <a:stretch>
              <a:fillRect/>
            </a:stretch>
          </a:blip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9.굿즈_Click" textlink="$AH$3">
        <xdr:nvSpPr>
          <xdr:cNvPr id="16" name="A03"/>
          <xdr:cNvSpPr txBox="1"/>
        </xdr:nvSpPr>
        <xdr:spPr>
          <a:xfrm>
            <a:off x="2991971" y="3059206"/>
            <a:ext cx="1893794" cy="4132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4F36F756-2C5A-489E-8633-0C01CC2A2473}" type="TxLink">
              <a:rPr lang="ko-KR" altLang="en-US" sz="14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조거팬츠</a:t>
            </a:fld>
            <a:endParaRPr lang="ko-KR" altLang="en-US" sz="1100"/>
          </a:p>
        </xdr:txBody>
      </xdr:sp>
    </xdr:grpSp>
    <xdr:clientData/>
  </xdr:twoCellAnchor>
  <xdr:twoCellAnchor>
    <xdr:from>
      <xdr:col>17</xdr:col>
      <xdr:colOff>90246</xdr:colOff>
      <xdr:row>0</xdr:row>
      <xdr:rowOff>190500</xdr:rowOff>
    </xdr:from>
    <xdr:to>
      <xdr:col>21</xdr:col>
      <xdr:colOff>112658</xdr:colOff>
      <xdr:row>16</xdr:row>
      <xdr:rowOff>69443</xdr:rowOff>
    </xdr:to>
    <xdr:grpSp>
      <xdr:nvGrpSpPr>
        <xdr:cNvPr id="17" name="그룹4"/>
        <xdr:cNvGrpSpPr/>
      </xdr:nvGrpSpPr>
      <xdr:grpSpPr>
        <a:xfrm>
          <a:off x="11656317" y="190500"/>
          <a:ext cx="2743841" cy="3199086"/>
          <a:chOff x="2543735" y="190500"/>
          <a:chExt cx="2756647" cy="3281941"/>
        </a:xfrm>
      </xdr:grpSpPr>
      <xdr:sp macro="[0]!Sheet9.굿즈_Click" textlink="">
        <xdr:nvSpPr>
          <xdr:cNvPr id="18" name="A04"/>
          <xdr:cNvSpPr/>
        </xdr:nvSpPr>
        <xdr:spPr>
          <a:xfrm>
            <a:off x="2543735" y="190500"/>
            <a:ext cx="2756647" cy="2756647"/>
          </a:xfrm>
          <a:prstGeom prst="rect">
            <a:avLst/>
          </a:prstGeom>
          <a:blipFill>
            <a:blip xmlns:r="http://schemas.openxmlformats.org/officeDocument/2006/relationships" r:embed="rId5"/>
            <a:stretch>
              <a:fillRect/>
            </a:stretch>
          </a:blip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9.굿즈_Click" textlink="$AI$3">
        <xdr:nvSpPr>
          <xdr:cNvPr id="19" name="A04"/>
          <xdr:cNvSpPr txBox="1"/>
        </xdr:nvSpPr>
        <xdr:spPr>
          <a:xfrm>
            <a:off x="2991971" y="3059206"/>
            <a:ext cx="1893794" cy="4132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AA988BBB-612F-4967-867C-CE4BAE309D00}" type="TxLink">
              <a:rPr lang="ko-KR" altLang="en-US" sz="14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어린이 양말</a:t>
            </a:fld>
            <a:endParaRPr lang="ko-KR" altLang="en-US" sz="1100"/>
          </a:p>
        </xdr:txBody>
      </xdr:sp>
    </xdr:grpSp>
    <xdr:clientData/>
  </xdr:twoCellAnchor>
  <xdr:twoCellAnchor>
    <xdr:from>
      <xdr:col>21</xdr:col>
      <xdr:colOff>410614</xdr:colOff>
      <xdr:row>0</xdr:row>
      <xdr:rowOff>190500</xdr:rowOff>
    </xdr:from>
    <xdr:to>
      <xdr:col>25</xdr:col>
      <xdr:colOff>433026</xdr:colOff>
      <xdr:row>16</xdr:row>
      <xdr:rowOff>69443</xdr:rowOff>
    </xdr:to>
    <xdr:grpSp>
      <xdr:nvGrpSpPr>
        <xdr:cNvPr id="20" name="그룹5"/>
        <xdr:cNvGrpSpPr/>
      </xdr:nvGrpSpPr>
      <xdr:grpSpPr>
        <a:xfrm>
          <a:off x="14698114" y="190500"/>
          <a:ext cx="2743841" cy="3199086"/>
          <a:chOff x="2543735" y="190500"/>
          <a:chExt cx="2756647" cy="3281941"/>
        </a:xfrm>
      </xdr:grpSpPr>
      <xdr:sp macro="[0]!Sheet9.굿즈_Click" textlink="">
        <xdr:nvSpPr>
          <xdr:cNvPr id="21" name="A05"/>
          <xdr:cNvSpPr/>
        </xdr:nvSpPr>
        <xdr:spPr>
          <a:xfrm>
            <a:off x="2543735" y="190500"/>
            <a:ext cx="2756647" cy="2756647"/>
          </a:xfrm>
          <a:prstGeom prst="rect">
            <a:avLst/>
          </a:prstGeom>
          <a:blipFill>
            <a:blip xmlns:r="http://schemas.openxmlformats.org/officeDocument/2006/relationships" r:embed="rId6"/>
            <a:stretch>
              <a:fillRect/>
            </a:stretch>
          </a:blip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9.굿즈_Click" textlink="$AJ$3">
        <xdr:nvSpPr>
          <xdr:cNvPr id="22" name="A05"/>
          <xdr:cNvSpPr txBox="1"/>
        </xdr:nvSpPr>
        <xdr:spPr>
          <a:xfrm>
            <a:off x="2991971" y="3059206"/>
            <a:ext cx="1893794" cy="4132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2ED6E04A-8DAB-41E1-AC5E-9EF89C14D25B}" type="TxLink">
              <a:rPr lang="ko-KR" altLang="en-US" sz="14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맨투맨</a:t>
            </a:fld>
            <a:endParaRPr lang="ko-KR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630892</xdr:colOff>
      <xdr:row>6</xdr:row>
      <xdr:rowOff>35858</xdr:rowOff>
    </xdr:from>
    <xdr:to>
      <xdr:col>11</xdr:col>
      <xdr:colOff>400051</xdr:colOff>
      <xdr:row>31</xdr:row>
      <xdr:rowOff>155761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0.31151</cdr:x>
      <cdr:y>0.0078</cdr:y>
    </cdr:from>
    <cdr:to>
      <cdr:x>0.68849</cdr:x>
      <cdr:y>0.12332</cdr:y>
    </cdr:to>
    <cdr:sp macro="" textlink="">
      <cdr:nvSpPr>
        <cdr:cNvPr id="3" name="직사각형 2"/>
        <cdr:cNvSpPr/>
      </cdr:nvSpPr>
      <cdr:spPr>
        <a:xfrm xmlns:a="http://schemas.openxmlformats.org/drawingml/2006/main">
          <a:off x="1424222" y="36181"/>
          <a:ext cx="1723549" cy="53585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ko-KR" alt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기부금영수증</a:t>
          </a:r>
          <a:endParaRPr lang="en-US" altLang="ko-KR" sz="2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0.07083</cdr:x>
      <cdr:y>0.13963</cdr:y>
    </cdr:from>
    <cdr:to>
      <cdr:x>0.27083</cdr:x>
      <cdr:y>0.22177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23850" y="647700"/>
          <a:ext cx="9144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ko-KR" sz="1100"/>
            <a:t>1. </a:t>
          </a:r>
          <a:r>
            <a:rPr lang="ko-KR" altLang="en-US" sz="1100"/>
            <a:t>기부자</a:t>
          </a:r>
        </a:p>
      </cdr:txBody>
    </cdr:sp>
  </cdr:relSizeAnchor>
  <cdr:relSizeAnchor xmlns:cdr="http://schemas.openxmlformats.org/drawingml/2006/chartDrawing">
    <cdr:from>
      <cdr:x>0.07083</cdr:x>
      <cdr:y>0.19484</cdr:y>
    </cdr:from>
    <cdr:to>
      <cdr:x>0.20765</cdr:x>
      <cdr:y>0.25103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22739" y="1061107"/>
          <a:ext cx="623399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o-KR" altLang="en-US" sz="1100"/>
            <a:t>성명</a:t>
          </a:r>
        </a:p>
      </cdr:txBody>
    </cdr:sp>
  </cdr:relSizeAnchor>
  <cdr:relSizeAnchor xmlns:cdr="http://schemas.openxmlformats.org/drawingml/2006/chartDrawing">
    <cdr:from>
      <cdr:x>0.17816</cdr:x>
      <cdr:y>0.76954</cdr:y>
    </cdr:from>
    <cdr:to>
      <cdr:x>0.81505</cdr:x>
      <cdr:y>0.85168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811740" y="4190959"/>
          <a:ext cx="2901890" cy="447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ko-KR" altLang="en-US" sz="1100"/>
            <a:t>위와 같이 기부금을 기부하였음을 증명합니다</a:t>
          </a:r>
          <a:r>
            <a:rPr lang="en-US" altLang="ko-KR" sz="1100"/>
            <a:t>.</a:t>
          </a:r>
          <a:endParaRPr lang="ko-KR" altLang="en-US" sz="1100"/>
        </a:p>
      </cdr:txBody>
    </cdr:sp>
  </cdr:relSizeAnchor>
  <cdr:relSizeAnchor xmlns:cdr="http://schemas.openxmlformats.org/drawingml/2006/chartDrawing">
    <cdr:from>
      <cdr:x>0.07231</cdr:x>
      <cdr:y>0.41344</cdr:y>
    </cdr:from>
    <cdr:to>
      <cdr:x>0.91392</cdr:x>
      <cdr:y>0.41344</cdr:y>
    </cdr:to>
    <cdr:cxnSp macro="">
      <cdr:nvCxnSpPr>
        <cdr:cNvPr id="19" name="직선 연결선 18"/>
        <cdr:cNvCxnSpPr/>
      </cdr:nvCxnSpPr>
      <cdr:spPr>
        <a:xfrm xmlns:a="http://schemas.openxmlformats.org/drawingml/2006/main">
          <a:off x="329453" y="2251635"/>
          <a:ext cx="3834653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0.07083</cdr:x>
      <cdr:y>0.26171</cdr:y>
    </cdr:from>
    <cdr:to>
      <cdr:x>0.20765</cdr:x>
      <cdr:y>0.3179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322739" y="1425298"/>
          <a:ext cx="623399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o-KR" altLang="en-US" sz="1100"/>
            <a:t>이메일</a:t>
          </a:r>
        </a:p>
      </cdr:txBody>
    </cdr:sp>
  </cdr:relSizeAnchor>
  <cdr:relSizeAnchor xmlns:cdr="http://schemas.openxmlformats.org/drawingml/2006/chartDrawing">
    <cdr:from>
      <cdr:x>0.07083</cdr:x>
      <cdr:y>0.32858</cdr:y>
    </cdr:from>
    <cdr:to>
      <cdr:x>0.20765</cdr:x>
      <cdr:y>0.38477</cdr:y>
    </cdr:to>
    <cdr:sp macro="" textlink="">
      <cdr:nvSpPr>
        <cdr:cNvPr id="21" name="TextBox 20"/>
        <cdr:cNvSpPr txBox="1"/>
      </cdr:nvSpPr>
      <cdr:spPr>
        <a:xfrm xmlns:a="http://schemas.openxmlformats.org/drawingml/2006/main">
          <a:off x="322739" y="1789489"/>
          <a:ext cx="623399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o-KR" altLang="en-US" sz="1100"/>
            <a:t>전화번호</a:t>
          </a:r>
        </a:p>
      </cdr:txBody>
    </cdr:sp>
  </cdr:relSizeAnchor>
  <cdr:relSizeAnchor xmlns:cdr="http://schemas.openxmlformats.org/drawingml/2006/chartDrawing">
    <cdr:from>
      <cdr:x>0.24791</cdr:x>
      <cdr:y>0.19484</cdr:y>
    </cdr:from>
    <cdr:to>
      <cdr:x>0.92573</cdr:x>
      <cdr:y>0.25103</cdr:y>
    </cdr:to>
    <cdr:sp macro="" textlink="자료처리!$B$1">
      <cdr:nvSpPr>
        <cdr:cNvPr id="22" name="TextBox 21"/>
        <cdr:cNvSpPr txBox="1"/>
      </cdr:nvSpPr>
      <cdr:spPr>
        <a:xfrm xmlns:a="http://schemas.openxmlformats.org/drawingml/2006/main">
          <a:off x="1129563" y="1061107"/>
          <a:ext cx="3088331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BE18608-D32B-4D04-BD67-3197F613A8EB}" type="TxLink">
            <a:rPr lang="ko-KR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#N/A</a:t>
          </a:fld>
          <a:endParaRPr lang="ko-KR" altLang="en-US" sz="1100"/>
        </a:p>
      </cdr:txBody>
    </cdr:sp>
  </cdr:relSizeAnchor>
  <cdr:relSizeAnchor xmlns:cdr="http://schemas.openxmlformats.org/drawingml/2006/chartDrawing">
    <cdr:from>
      <cdr:x>0.24791</cdr:x>
      <cdr:y>0.26171</cdr:y>
    </cdr:from>
    <cdr:to>
      <cdr:x>0.92573</cdr:x>
      <cdr:y>0.3179</cdr:y>
    </cdr:to>
    <cdr:sp macro="" textlink="자료처리!$F$1">
      <cdr:nvSpPr>
        <cdr:cNvPr id="23" name="TextBox 22"/>
        <cdr:cNvSpPr txBox="1"/>
      </cdr:nvSpPr>
      <cdr:spPr>
        <a:xfrm xmlns:a="http://schemas.openxmlformats.org/drawingml/2006/main">
          <a:off x="1129563" y="1425298"/>
          <a:ext cx="3088331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8BA9902-953F-48FD-9B1A-64BEE948C17E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#N/A</a:t>
          </a:fld>
          <a:endParaRPr lang="ko-KR" altLang="en-US" sz="1100"/>
        </a:p>
      </cdr:txBody>
    </cdr:sp>
  </cdr:relSizeAnchor>
  <cdr:relSizeAnchor xmlns:cdr="http://schemas.openxmlformats.org/drawingml/2006/chartDrawing">
    <cdr:from>
      <cdr:x>0.24791</cdr:x>
      <cdr:y>0.32858</cdr:y>
    </cdr:from>
    <cdr:to>
      <cdr:x>0.92573</cdr:x>
      <cdr:y>0.38477</cdr:y>
    </cdr:to>
    <cdr:sp macro="" textlink="자료처리!$G$1">
      <cdr:nvSpPr>
        <cdr:cNvPr id="24" name="TextBox 23"/>
        <cdr:cNvSpPr txBox="1"/>
      </cdr:nvSpPr>
      <cdr:spPr>
        <a:xfrm xmlns:a="http://schemas.openxmlformats.org/drawingml/2006/main">
          <a:off x="1129563" y="1789489"/>
          <a:ext cx="3088331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ED21C050-249F-4AFC-B2AF-74AC20B9DF9D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#N/A</a:t>
          </a:fld>
          <a:endParaRPr lang="ko-KR" altLang="en-US" sz="1100"/>
        </a:p>
      </cdr:txBody>
    </cdr:sp>
  </cdr:relSizeAnchor>
  <cdr:relSizeAnchor xmlns:cdr="http://schemas.openxmlformats.org/drawingml/2006/chartDrawing">
    <cdr:from>
      <cdr:x>0.07083</cdr:x>
      <cdr:y>0.41947</cdr:y>
    </cdr:from>
    <cdr:to>
      <cdr:x>0.27083</cdr:x>
      <cdr:y>0.5016</cdr:y>
    </cdr:to>
    <cdr:sp macro="" textlink="">
      <cdr:nvSpPr>
        <cdr:cNvPr id="25" name="TextBox 24"/>
        <cdr:cNvSpPr txBox="1"/>
      </cdr:nvSpPr>
      <cdr:spPr>
        <a:xfrm xmlns:a="http://schemas.openxmlformats.org/drawingml/2006/main">
          <a:off x="322739" y="2284435"/>
          <a:ext cx="911262" cy="447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ko-KR" sz="1100"/>
            <a:t>2. </a:t>
          </a:r>
          <a:r>
            <a:rPr lang="ko-KR" altLang="en-US" sz="1100"/>
            <a:t>기부내용</a:t>
          </a:r>
        </a:p>
      </cdr:txBody>
    </cdr:sp>
  </cdr:relSizeAnchor>
  <cdr:relSizeAnchor xmlns:cdr="http://schemas.openxmlformats.org/drawingml/2006/chartDrawing">
    <cdr:from>
      <cdr:x>0.07083</cdr:x>
      <cdr:y>0.49114</cdr:y>
    </cdr:from>
    <cdr:to>
      <cdr:x>0.20765</cdr:x>
      <cdr:y>0.54733</cdr:y>
    </cdr:to>
    <cdr:sp macro="" textlink="">
      <cdr:nvSpPr>
        <cdr:cNvPr id="26" name="TextBox 25"/>
        <cdr:cNvSpPr txBox="1"/>
      </cdr:nvSpPr>
      <cdr:spPr>
        <a:xfrm xmlns:a="http://schemas.openxmlformats.org/drawingml/2006/main">
          <a:off x="322739" y="2674754"/>
          <a:ext cx="623399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o-KR" altLang="en-US" sz="1100"/>
            <a:t>후원제목</a:t>
          </a:r>
        </a:p>
      </cdr:txBody>
    </cdr:sp>
  </cdr:relSizeAnchor>
  <cdr:relSizeAnchor xmlns:cdr="http://schemas.openxmlformats.org/drawingml/2006/chartDrawing">
    <cdr:from>
      <cdr:x>0.07083</cdr:x>
      <cdr:y>0.55801</cdr:y>
    </cdr:from>
    <cdr:to>
      <cdr:x>0.20765</cdr:x>
      <cdr:y>0.6142</cdr:y>
    </cdr:to>
    <cdr:sp macro="" textlink="">
      <cdr:nvSpPr>
        <cdr:cNvPr id="27" name="TextBox 26"/>
        <cdr:cNvSpPr txBox="1"/>
      </cdr:nvSpPr>
      <cdr:spPr>
        <a:xfrm xmlns:a="http://schemas.openxmlformats.org/drawingml/2006/main">
          <a:off x="322739" y="3038945"/>
          <a:ext cx="623399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o-KR" altLang="en-US" sz="1100"/>
            <a:t>날짜</a:t>
          </a:r>
        </a:p>
      </cdr:txBody>
    </cdr:sp>
  </cdr:relSizeAnchor>
  <cdr:relSizeAnchor xmlns:cdr="http://schemas.openxmlformats.org/drawingml/2006/chartDrawing">
    <cdr:from>
      <cdr:x>0.07083</cdr:x>
      <cdr:y>0.62488</cdr:y>
    </cdr:from>
    <cdr:to>
      <cdr:x>0.20765</cdr:x>
      <cdr:y>0.68107</cdr:y>
    </cdr:to>
    <cdr:sp macro="" textlink="">
      <cdr:nvSpPr>
        <cdr:cNvPr id="28" name="TextBox 27"/>
        <cdr:cNvSpPr txBox="1"/>
      </cdr:nvSpPr>
      <cdr:spPr>
        <a:xfrm xmlns:a="http://schemas.openxmlformats.org/drawingml/2006/main">
          <a:off x="322739" y="3403136"/>
          <a:ext cx="623399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o-KR" altLang="en-US" sz="1100"/>
            <a:t>금액</a:t>
          </a:r>
        </a:p>
      </cdr:txBody>
    </cdr:sp>
  </cdr:relSizeAnchor>
  <cdr:relSizeAnchor xmlns:cdr="http://schemas.openxmlformats.org/drawingml/2006/chartDrawing">
    <cdr:from>
      <cdr:x>0.24791</cdr:x>
      <cdr:y>0.49114</cdr:y>
    </cdr:from>
    <cdr:to>
      <cdr:x>0.92573</cdr:x>
      <cdr:y>0.54733</cdr:y>
    </cdr:to>
    <cdr:sp macro="" textlink="자료처리!$R$6">
      <cdr:nvSpPr>
        <cdr:cNvPr id="29" name="TextBox 28"/>
        <cdr:cNvSpPr txBox="1"/>
      </cdr:nvSpPr>
      <cdr:spPr>
        <a:xfrm xmlns:a="http://schemas.openxmlformats.org/drawingml/2006/main">
          <a:off x="1129563" y="2674754"/>
          <a:ext cx="3088331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6E8154C-C14F-4114-BA30-ED520F564DBF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수재민들 지원 함께합시다!</a:t>
          </a:fld>
          <a:endParaRPr lang="ko-KR" altLang="en-US" sz="1100"/>
        </a:p>
      </cdr:txBody>
    </cdr:sp>
  </cdr:relSizeAnchor>
  <cdr:relSizeAnchor xmlns:cdr="http://schemas.openxmlformats.org/drawingml/2006/chartDrawing">
    <cdr:from>
      <cdr:x>0.24791</cdr:x>
      <cdr:y>0.55801</cdr:y>
    </cdr:from>
    <cdr:to>
      <cdr:x>0.92573</cdr:x>
      <cdr:y>0.6142</cdr:y>
    </cdr:to>
    <cdr:sp macro="" textlink="자료처리!$R$7">
      <cdr:nvSpPr>
        <cdr:cNvPr id="30" name="TextBox 29"/>
        <cdr:cNvSpPr txBox="1"/>
      </cdr:nvSpPr>
      <cdr:spPr>
        <a:xfrm xmlns:a="http://schemas.openxmlformats.org/drawingml/2006/main">
          <a:off x="1129563" y="3038945"/>
          <a:ext cx="3088331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0A9835F-0EDB-4460-A66F-6A51BFFBDC47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2022-08-22</a:t>
          </a:fld>
          <a:endParaRPr lang="ko-KR" altLang="en-US" sz="1100"/>
        </a:p>
      </cdr:txBody>
    </cdr:sp>
  </cdr:relSizeAnchor>
  <cdr:relSizeAnchor xmlns:cdr="http://schemas.openxmlformats.org/drawingml/2006/chartDrawing">
    <cdr:from>
      <cdr:x>0.24791</cdr:x>
      <cdr:y>0.62488</cdr:y>
    </cdr:from>
    <cdr:to>
      <cdr:x>0.92573</cdr:x>
      <cdr:y>0.68107</cdr:y>
    </cdr:to>
    <cdr:sp macro="" textlink="자료처리!$R$8">
      <cdr:nvSpPr>
        <cdr:cNvPr id="31" name="TextBox 30"/>
        <cdr:cNvSpPr txBox="1"/>
      </cdr:nvSpPr>
      <cdr:spPr>
        <a:xfrm xmlns:a="http://schemas.openxmlformats.org/drawingml/2006/main">
          <a:off x="1129563" y="3403136"/>
          <a:ext cx="3088331" cy="306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1DAE7A7-DD4A-488A-8745-2B034DE010DA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25,000</a:t>
          </a:fld>
          <a:endParaRPr lang="ko-KR" altLang="en-US" sz="1100"/>
        </a:p>
      </cdr:txBody>
    </cdr:sp>
  </cdr:relSizeAnchor>
  <cdr:relSizeAnchor xmlns:cdr="http://schemas.openxmlformats.org/drawingml/2006/chartDrawing">
    <cdr:from>
      <cdr:x>0</cdr:x>
      <cdr:y>0.94938</cdr:y>
    </cdr:from>
    <cdr:to>
      <cdr:x>0.09592</cdr:x>
      <cdr:y>1</cdr:y>
    </cdr:to>
    <cdr:sp macro="" textlink="자료처리!$R$9">
      <cdr:nvSpPr>
        <cdr:cNvPr id="32" name="TextBox 31"/>
        <cdr:cNvSpPr txBox="1"/>
      </cdr:nvSpPr>
      <cdr:spPr>
        <a:xfrm xmlns:a="http://schemas.openxmlformats.org/drawingml/2006/main">
          <a:off x="0" y="5170392"/>
          <a:ext cx="437029" cy="2756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CEA845F-0DBE-4D77-B040-52CFC7468FCC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1422</a:t>
          </a:fld>
          <a:endParaRPr lang="ko-KR" altLang="en-US" sz="1100"/>
        </a:p>
      </cdr:txBody>
    </cdr:sp>
  </cdr:relSizeAnchor>
  <cdr:relSizeAnchor xmlns:cdr="http://schemas.openxmlformats.org/drawingml/2006/chartDrawing">
    <cdr:from>
      <cdr:x>0.60634</cdr:x>
      <cdr:y>0.88203</cdr:y>
    </cdr:from>
    <cdr:to>
      <cdr:x>1</cdr:x>
      <cdr:y>1</cdr:y>
    </cdr:to>
    <cdr:pic>
      <cdr:nvPicPr>
        <cdr:cNvPr id="33" name="그림 3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762684" y="4803564"/>
          <a:ext cx="1793628" cy="642494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438151</xdr:colOff>
      <xdr:row>0</xdr:row>
      <xdr:rowOff>0</xdr:rowOff>
    </xdr:from>
    <xdr:to>
      <xdr:col>9</xdr:col>
      <xdr:colOff>47626</xdr:colOff>
      <xdr:row>3</xdr:row>
      <xdr:rowOff>26444</xdr:rowOff>
    </xdr:to>
    <xdr:pic macro="[0]!logo_Click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226" y="0"/>
          <a:ext cx="1828800" cy="6550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498231</xdr:colOff>
      <xdr:row>0</xdr:row>
      <xdr:rowOff>183173</xdr:rowOff>
    </xdr:from>
    <xdr:to>
      <xdr:col>8</xdr:col>
      <xdr:colOff>29308</xdr:colOff>
      <xdr:row>7</xdr:row>
      <xdr:rowOff>168520</xdr:rowOff>
    </xdr:to>
    <xdr:sp macro="[0]!Sheet12.굿즈재고_Click" textlink="">
      <xdr:nvSpPr>
        <xdr:cNvPr id="2" name="모서리가 둥근 직사각형 1"/>
        <xdr:cNvSpPr/>
      </xdr:nvSpPr>
      <xdr:spPr>
        <a:xfrm>
          <a:off x="2564423" y="183173"/>
          <a:ext cx="2974731" cy="14727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/>
            <a:t>굿즈 재고관리</a:t>
          </a:r>
        </a:p>
      </xdr:txBody>
    </xdr:sp>
    <xdr:clientData/>
  </xdr:twoCellAnchor>
  <xdr:twoCellAnchor>
    <xdr:from>
      <xdr:col>3</xdr:col>
      <xdr:colOff>498231</xdr:colOff>
      <xdr:row>8</xdr:row>
      <xdr:rowOff>150202</xdr:rowOff>
    </xdr:from>
    <xdr:to>
      <xdr:col>8</xdr:col>
      <xdr:colOff>29308</xdr:colOff>
      <xdr:row>15</xdr:row>
      <xdr:rowOff>135548</xdr:rowOff>
    </xdr:to>
    <xdr:sp macro="[0]!Sheet12.봉사활동_Click" textlink="">
      <xdr:nvSpPr>
        <xdr:cNvPr id="3" name="모서리가 둥근 직사각형 2"/>
        <xdr:cNvSpPr/>
      </xdr:nvSpPr>
      <xdr:spPr>
        <a:xfrm>
          <a:off x="2564423" y="1850048"/>
          <a:ext cx="2974731" cy="14727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/>
            <a:t>봉사활동 등록</a:t>
          </a:r>
          <a:r>
            <a:rPr lang="en-US" altLang="ko-KR" sz="1800"/>
            <a:t>/</a:t>
          </a:r>
          <a:r>
            <a:rPr lang="ko-KR" altLang="en-US" sz="1800"/>
            <a:t>수정</a:t>
          </a:r>
        </a:p>
      </xdr:txBody>
    </xdr:sp>
    <xdr:clientData/>
  </xdr:twoCellAnchor>
  <xdr:twoCellAnchor>
    <xdr:from>
      <xdr:col>3</xdr:col>
      <xdr:colOff>498231</xdr:colOff>
      <xdr:row>16</xdr:row>
      <xdr:rowOff>117231</xdr:rowOff>
    </xdr:from>
    <xdr:to>
      <xdr:col>8</xdr:col>
      <xdr:colOff>29308</xdr:colOff>
      <xdr:row>23</xdr:row>
      <xdr:rowOff>102577</xdr:rowOff>
    </xdr:to>
    <xdr:sp macro="[0]!로그아웃" textlink="">
      <xdr:nvSpPr>
        <xdr:cNvPr id="4" name="모서리가 둥근 직사각형 3"/>
        <xdr:cNvSpPr/>
      </xdr:nvSpPr>
      <xdr:spPr>
        <a:xfrm>
          <a:off x="2564423" y="3516923"/>
          <a:ext cx="2974731" cy="14727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/>
            <a:t>로그아웃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571865</xdr:colOff>
      <xdr:row>1</xdr:row>
      <xdr:rowOff>88569</xdr:rowOff>
    </xdr:from>
    <xdr:ext cx="3542573" cy="713209"/>
    <xdr:sp macro="" textlink="자료처리!M1">
      <xdr:nvSpPr>
        <xdr:cNvPr id="2" name="직사각형 1"/>
        <xdr:cNvSpPr/>
      </xdr:nvSpPr>
      <xdr:spPr>
        <a:xfrm>
          <a:off x="3315065" y="298119"/>
          <a:ext cx="3542573" cy="71320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fld id="{B1048899-B0DA-404A-B71A-3111DB989D02}" type="TxLink">
            <a:rPr lang="ko-KR" alt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맑은 고딕"/>
              <a:ea typeface="맑은 고딕"/>
            </a:rPr>
            <a:pPr algn="ctr"/>
            <a:t>#N/A</a:t>
          </a:fld>
          <a:endParaRPr lang="en-US" altLang="ko-K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4</xdr:col>
      <xdr:colOff>543242</xdr:colOff>
      <xdr:row>4</xdr:row>
      <xdr:rowOff>2844</xdr:rowOff>
    </xdr:from>
    <xdr:ext cx="5371471" cy="713209"/>
    <xdr:sp macro="" textlink="자료처리!M2">
      <xdr:nvSpPr>
        <xdr:cNvPr id="3" name="직사각형 2"/>
        <xdr:cNvSpPr/>
      </xdr:nvSpPr>
      <xdr:spPr>
        <a:xfrm>
          <a:off x="3286442" y="841044"/>
          <a:ext cx="5371471" cy="71320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fld id="{835F05E2-B5F4-4CFD-8796-3B4FBB523928}" type="TxLink">
            <a:rPr lang="ko-KR" alt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맑은 고딕"/>
              <a:ea typeface="맑은 고딕"/>
            </a:rPr>
            <a:pPr algn="ctr"/>
            <a:t>#N/A</a:t>
          </a:fld>
          <a:endParaRPr lang="en-US" altLang="ko-K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5</xdr:col>
      <xdr:colOff>19049</xdr:colOff>
      <xdr:row>7</xdr:row>
      <xdr:rowOff>133350</xdr:rowOff>
    </xdr:from>
    <xdr:to>
      <xdr:col>8</xdr:col>
      <xdr:colOff>428624</xdr:colOff>
      <xdr:row>12</xdr:row>
      <xdr:rowOff>171450</xdr:rowOff>
    </xdr:to>
    <xdr:sp macro="[0]!Sheet11.후원내역보기_Click" textlink="">
      <xdr:nvSpPr>
        <xdr:cNvPr id="4" name="모서리가 둥근 직사각형 3"/>
        <xdr:cNvSpPr/>
      </xdr:nvSpPr>
      <xdr:spPr>
        <a:xfrm>
          <a:off x="3448049" y="1600200"/>
          <a:ext cx="2466975" cy="1085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/>
            <a:t>후원내역 보기</a:t>
          </a:r>
        </a:p>
      </xdr:txBody>
    </xdr:sp>
    <xdr:clientData/>
  </xdr:twoCellAnchor>
  <xdr:twoCellAnchor>
    <xdr:from>
      <xdr:col>5</xdr:col>
      <xdr:colOff>19049</xdr:colOff>
      <xdr:row>13</xdr:row>
      <xdr:rowOff>57150</xdr:rowOff>
    </xdr:from>
    <xdr:to>
      <xdr:col>8</xdr:col>
      <xdr:colOff>428624</xdr:colOff>
      <xdr:row>18</xdr:row>
      <xdr:rowOff>95250</xdr:rowOff>
    </xdr:to>
    <xdr:sp macro="[0]!Sheet11.봉사후기작성하기_Click" textlink="">
      <xdr:nvSpPr>
        <xdr:cNvPr id="7" name="모서리가 둥근 직사각형 6"/>
        <xdr:cNvSpPr/>
      </xdr:nvSpPr>
      <xdr:spPr>
        <a:xfrm>
          <a:off x="3448049" y="2781300"/>
          <a:ext cx="2466975" cy="1085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/>
            <a:t>봉사후기 작성하기</a:t>
          </a:r>
        </a:p>
      </xdr:txBody>
    </xdr:sp>
    <xdr:clientData/>
  </xdr:twoCellAnchor>
  <xdr:twoCellAnchor>
    <xdr:from>
      <xdr:col>5</xdr:col>
      <xdr:colOff>19049</xdr:colOff>
      <xdr:row>19</xdr:row>
      <xdr:rowOff>9525</xdr:rowOff>
    </xdr:from>
    <xdr:to>
      <xdr:col>8</xdr:col>
      <xdr:colOff>428624</xdr:colOff>
      <xdr:row>24</xdr:row>
      <xdr:rowOff>47625</xdr:rowOff>
    </xdr:to>
    <xdr:sp macro="[0]!Sheet11.기부영수증보기_Click" textlink="">
      <xdr:nvSpPr>
        <xdr:cNvPr id="8" name="모서리가 둥근 직사각형 7"/>
        <xdr:cNvSpPr/>
      </xdr:nvSpPr>
      <xdr:spPr>
        <a:xfrm>
          <a:off x="3448049" y="3990975"/>
          <a:ext cx="2466975" cy="1085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/>
            <a:t>기부영수증 보기</a:t>
          </a:r>
        </a:p>
      </xdr:txBody>
    </xdr:sp>
    <xdr:clientData/>
  </xdr:twoCellAnchor>
  <xdr:twoCellAnchor editAs="oneCell">
    <xdr:from>
      <xdr:col>5</xdr:col>
      <xdr:colOff>523875</xdr:colOff>
      <xdr:row>24</xdr:row>
      <xdr:rowOff>107902</xdr:rowOff>
    </xdr:from>
    <xdr:to>
      <xdr:col>8</xdr:col>
      <xdr:colOff>381000</xdr:colOff>
      <xdr:row>27</xdr:row>
      <xdr:rowOff>165053</xdr:rowOff>
    </xdr:to>
    <xdr:pic macro="[0]!logo_Click"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5137102"/>
          <a:ext cx="1914525" cy="685801"/>
        </a:xfrm>
        <a:prstGeom prst="rect">
          <a:avLst/>
        </a:prstGeom>
      </xdr:spPr>
    </xdr:pic>
    <xdr:clientData/>
  </xdr:twoCellAnchor>
  <xdr:twoCellAnchor>
    <xdr:from>
      <xdr:col>8</xdr:col>
      <xdr:colOff>666750</xdr:colOff>
      <xdr:row>8</xdr:row>
      <xdr:rowOff>152400</xdr:rowOff>
    </xdr:from>
    <xdr:to>
      <xdr:col>16</xdr:col>
      <xdr:colOff>247650</xdr:colOff>
      <xdr:row>23</xdr:row>
      <xdr:rowOff>49530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표1" displayName="표1" ref="A1:I21" totalsRowShown="0" headerRowDxfId="54" dataDxfId="53">
  <tableColumns count="9">
    <tableColumn id="1" name="번호" dataDxfId="52"/>
    <tableColumn id="2" name="이름" dataDxfId="51"/>
    <tableColumn id="3" name="아이디" dataDxfId="50"/>
    <tableColumn id="4" name="비밀번호" dataDxfId="49"/>
    <tableColumn id="5" name="결제비밀번호" dataDxfId="48"/>
    <tableColumn id="6" name="이메일" dataDxfId="47"/>
    <tableColumn id="7" name="전화번호" dataDxfId="46"/>
    <tableColumn id="8" name="총 후원금액" dataDxfId="45">
      <calculatedColumnFormula>SUMIF(표3[회원번호],표1[[#This Row],[번호]],표3[금액]) + SUMIF(표4[회원번호],표1[[#This Row],[번호]],표4[합계])</calculatedColumnFormula>
    </tableColumn>
    <tableColumn id="9" name="후원 횟수" dataDxfId="44">
      <calculatedColumnFormula>COUNTIF(표3[회원번호],표1[[#This Row],[번호]])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7" name="표7" displayName="표7" ref="A1:D21" totalsRowShown="0" headerRowDxfId="43" dataDxfId="42">
  <autoFilter ref="A1:D21">
    <filterColumn colId="0" hiddenButton="1"/>
    <filterColumn colId="1" hiddenButton="1"/>
    <filterColumn colId="2" hiddenButton="1"/>
  </autoFilter>
  <tableColumns count="4">
    <tableColumn id="1" name="번호" dataDxfId="41"/>
    <tableColumn id="2" name="제목" dataDxfId="40"/>
    <tableColumn id="3" name="내용" dataDxfId="39"/>
    <tableColumn id="4" name="총모금액" dataDxfId="38">
      <calculatedColumnFormula>SUMIF(표3[후원번호],표7[[#This Row],[번호]],표3[금액])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E52" headerRowDxfId="37" dataDxfId="36">
  <tableColumns count="5">
    <tableColumn id="1" name="번호" totalsRowLabel="요약" dataDxfId="35" totalsRowDxfId="34"/>
    <tableColumn id="2" name="회원번호" dataDxfId="33" totalsRowDxfId="32"/>
    <tableColumn id="3" name="후원번호" dataDxfId="31" totalsRowDxfId="30"/>
    <tableColumn id="4" name="금액" totalsRowFunction="sum" dataDxfId="29" totalsRowDxfId="28"/>
    <tableColumn id="5" name="날짜" totalsRowFunction="count" dataDxfId="27" totalsRowDxfId="26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E44" headerRowDxfId="25" dataDxfId="24">
  <autoFilter ref="A1:E4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번호" totalsRowLabel="요약" dataDxfId="23" totalsRowDxfId="22"/>
    <tableColumn id="2" name="회원번호" dataDxfId="21" totalsRowDxfId="20"/>
    <tableColumn id="3" name="굿즈번호" dataDxfId="19" totalsRowDxfId="18"/>
    <tableColumn id="4" name="수량" dataDxfId="17" totalsRowDxfId="16"/>
    <tableColumn id="5" name="합계" dataDxfId="15" totalsRowDxfId="14">
      <calculatedColumnFormula array="1">SUM((표4[[#This Row],[굿즈번호]]=표2[번호])*표2[가격]*표2[기부퍼센트])*표4[[#This Row],[수량]]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D61" totalsRowShown="0" headerRowDxfId="13" dataDxfId="12">
  <autoFilter ref="A1:D61">
    <filterColumn colId="0" hiddenButton="1"/>
    <filterColumn colId="1" hiddenButton="1"/>
    <filterColumn colId="2" hiddenButton="1"/>
    <filterColumn colId="3" hiddenButton="1"/>
  </autoFilter>
  <tableColumns count="4">
    <tableColumn id="1" name="번호" dataDxfId="11"/>
    <tableColumn id="2" name="봉사활동번호" dataDxfId="10"/>
    <tableColumn id="3" name="회원번호" dataDxfId="9"/>
    <tableColumn id="4" name="후기" dataDxfId="8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2" name="표2" displayName="표2" ref="A1:E21" totalsRowShown="0" headerRowDxfId="7" dataDxfId="6">
  <autoFilter ref="A1:E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번호" dataDxfId="5"/>
    <tableColumn id="2" name="상품명" dataDxfId="4"/>
    <tableColumn id="3" name="가격" dataDxfId="3"/>
    <tableColumn id="4" name="재고" dataDxfId="2"/>
    <tableColumn id="5" name="기부퍼센트" dataDxfId="1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1"/>
  <sheetViews>
    <sheetView topLeftCell="A2" zoomScale="115" zoomScaleNormal="115" workbookViewId="0">
      <selection activeCell="D30" sqref="D30"/>
    </sheetView>
  </sheetViews>
  <sheetFormatPr defaultRowHeight="16.5" x14ac:dyDescent="0.3"/>
  <cols>
    <col min="1" max="1" width="5.25" style="1" bestFit="1" customWidth="1"/>
    <col min="2" max="2" width="7.125" style="1" bestFit="1" customWidth="1"/>
    <col min="3" max="3" width="8.125" style="1" bestFit="1" customWidth="1"/>
    <col min="4" max="4" width="10.625" style="1" bestFit="1" customWidth="1"/>
    <col min="5" max="5" width="13" style="1" bestFit="1" customWidth="1"/>
    <col min="6" max="6" width="17.625" style="1" bestFit="1" customWidth="1"/>
    <col min="7" max="7" width="14.375" style="1" bestFit="1" customWidth="1"/>
    <col min="8" max="8" width="15.625" bestFit="1" customWidth="1"/>
    <col min="10" max="10" width="9.375" bestFit="1" customWidth="1"/>
    <col min="11" max="11" width="10.875" bestFit="1" customWidth="1"/>
    <col min="12" max="12" width="10.5" bestFit="1" customWidth="1"/>
    <col min="13" max="13" width="11.625" bestFit="1" customWidth="1"/>
    <col min="14" max="14" width="8.125" bestFit="1" customWidth="1"/>
    <col min="15" max="15" width="10.625" bestFit="1" customWidth="1"/>
    <col min="16" max="16" width="13" bestFit="1" customWidth="1"/>
    <col min="17" max="17" width="17.625" bestFit="1" customWidth="1"/>
    <col min="18" max="18" width="14.375" bestFit="1" customWidth="1"/>
    <col min="19" max="20" width="11.625" bestFit="1" customWidth="1"/>
  </cols>
  <sheetData>
    <row r="1" spans="1:1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212</v>
      </c>
      <c r="I1" s="1" t="s">
        <v>275</v>
      </c>
      <c r="L1" s="1" t="s">
        <v>271</v>
      </c>
      <c r="N1" t="s">
        <v>313</v>
      </c>
      <c r="O1" s="10" t="s">
        <v>212</v>
      </c>
    </row>
    <row r="2" spans="1:18" x14ac:dyDescent="0.3">
      <c r="A2" s="1">
        <v>1</v>
      </c>
      <c r="B2" s="1" t="s">
        <v>7</v>
      </c>
      <c r="C2" s="1" t="s">
        <v>8</v>
      </c>
      <c r="D2" s="1" t="s">
        <v>9</v>
      </c>
      <c r="E2" s="1">
        <v>408356</v>
      </c>
      <c r="F2" s="1" t="s">
        <v>10</v>
      </c>
      <c r="G2" s="1" t="s">
        <v>11</v>
      </c>
      <c r="H2" s="3">
        <f>SUMIF(표3[회원번호],표1[[#This Row],[번호]],표3[금액]) + SUMIF(표4[회원번호],표1[[#This Row],[번호]],표4[합계])</f>
        <v>929750</v>
      </c>
      <c r="I2" s="1">
        <f>COUNTIF(표3[회원번호],표1[[#This Row],[번호]])</f>
        <v>6</v>
      </c>
      <c r="L2" s="14" t="b">
        <f>RANK(H2,$H$2:$H$21)&lt;=3</f>
        <v>1</v>
      </c>
      <c r="N2" s="1">
        <v>13</v>
      </c>
      <c r="O2" s="3">
        <v>1893700</v>
      </c>
      <c r="P2" s="1"/>
      <c r="R2" s="17"/>
    </row>
    <row r="3" spans="1:18" x14ac:dyDescent="0.3">
      <c r="A3" s="1">
        <v>2</v>
      </c>
      <c r="B3" s="1" t="s">
        <v>12</v>
      </c>
      <c r="C3" s="1" t="s">
        <v>13</v>
      </c>
      <c r="D3" s="1" t="s">
        <v>14</v>
      </c>
      <c r="E3" s="1">
        <v>528475</v>
      </c>
      <c r="F3" s="1" t="s">
        <v>15</v>
      </c>
      <c r="G3" s="1" t="s">
        <v>16</v>
      </c>
      <c r="H3" s="3">
        <f>SUMIF(표3[회원번호],표1[[#This Row],[번호]],표3[금액]) + SUMIF(표4[회원번호],표1[[#This Row],[번호]],표4[합계])</f>
        <v>145000</v>
      </c>
      <c r="I3" s="1">
        <f>COUNTIF(표3[회원번호],표1[[#This Row],[번호]])</f>
        <v>3</v>
      </c>
      <c r="N3" s="1">
        <v>4</v>
      </c>
      <c r="O3" s="3">
        <v>1022400</v>
      </c>
      <c r="P3" s="1"/>
      <c r="R3" s="16"/>
    </row>
    <row r="4" spans="1:18" x14ac:dyDescent="0.3">
      <c r="A4" s="1">
        <v>3</v>
      </c>
      <c r="B4" s="1" t="s">
        <v>17</v>
      </c>
      <c r="C4" s="1" t="s">
        <v>18</v>
      </c>
      <c r="D4" s="1" t="s">
        <v>19</v>
      </c>
      <c r="E4" s="1">
        <v>102258</v>
      </c>
      <c r="F4" s="1" t="s">
        <v>20</v>
      </c>
      <c r="G4" s="1" t="s">
        <v>21</v>
      </c>
      <c r="H4" s="3">
        <f>SUMIF(표3[회원번호],표1[[#This Row],[번호]],표3[금액]) + SUMIF(표4[회원번호],표1[[#This Row],[번호]],표4[합계])</f>
        <v>340000</v>
      </c>
      <c r="I4" s="1">
        <f>COUNTIF(표3[회원번호],표1[[#This Row],[번호]])</f>
        <v>4</v>
      </c>
      <c r="N4" s="1">
        <v>1</v>
      </c>
      <c r="O4" s="3">
        <v>929750</v>
      </c>
      <c r="P4" s="1"/>
      <c r="R4" s="15"/>
    </row>
    <row r="5" spans="1:18" x14ac:dyDescent="0.3">
      <c r="A5" s="1">
        <v>4</v>
      </c>
      <c r="B5" s="1" t="s">
        <v>22</v>
      </c>
      <c r="C5" s="1" t="s">
        <v>23</v>
      </c>
      <c r="D5" s="1" t="s">
        <v>24</v>
      </c>
      <c r="E5" s="1">
        <v>516852</v>
      </c>
      <c r="F5" s="1" t="s">
        <v>25</v>
      </c>
      <c r="G5" s="1" t="s">
        <v>26</v>
      </c>
      <c r="H5" s="3">
        <f>SUMIF(표3[회원번호],표1[[#This Row],[번호]],표3[금액]) + SUMIF(표4[회원번호],표1[[#This Row],[번호]],표4[합계])</f>
        <v>1022400</v>
      </c>
      <c r="I5" s="1">
        <f>COUNTIF(표3[회원번호],표1[[#This Row],[번호]])</f>
        <v>7</v>
      </c>
      <c r="K5" s="1"/>
      <c r="N5" s="1"/>
      <c r="O5" s="3"/>
      <c r="P5" s="1"/>
    </row>
    <row r="6" spans="1:18" x14ac:dyDescent="0.3">
      <c r="A6" s="1">
        <v>5</v>
      </c>
      <c r="B6" s="1" t="s">
        <v>27</v>
      </c>
      <c r="C6" s="1" t="s">
        <v>28</v>
      </c>
      <c r="D6" s="1" t="s">
        <v>29</v>
      </c>
      <c r="E6" s="1">
        <v>516845</v>
      </c>
      <c r="F6" s="1" t="s">
        <v>30</v>
      </c>
      <c r="G6" s="1" t="s">
        <v>31</v>
      </c>
      <c r="H6" s="3">
        <f>SUMIF(표3[회원번호],표1[[#This Row],[번호]],표3[금액]) + SUMIF(표4[회원번호],표1[[#This Row],[번호]],표4[합계])</f>
        <v>254000</v>
      </c>
      <c r="I6" s="1">
        <f>COUNTIF(표3[회원번호],표1[[#This Row],[번호]])</f>
        <v>3</v>
      </c>
      <c r="K6" s="1"/>
      <c r="N6" s="1"/>
      <c r="O6" s="3"/>
      <c r="P6" s="1"/>
    </row>
    <row r="7" spans="1:18" x14ac:dyDescent="0.3">
      <c r="A7" s="1">
        <v>6</v>
      </c>
      <c r="B7" s="1" t="s">
        <v>32</v>
      </c>
      <c r="C7" s="1" t="s">
        <v>33</v>
      </c>
      <c r="D7" s="1" t="s">
        <v>34</v>
      </c>
      <c r="E7" s="1">
        <v>125874</v>
      </c>
      <c r="F7" s="1" t="s">
        <v>35</v>
      </c>
      <c r="G7" s="1" t="s">
        <v>36</v>
      </c>
      <c r="H7" s="3">
        <f>SUMIF(표3[회원번호],표1[[#This Row],[번호]],표3[금액]) + SUMIF(표4[회원번호],표1[[#This Row],[번호]],표4[합계])</f>
        <v>370000</v>
      </c>
      <c r="I7" s="1">
        <f>COUNTIF(표3[회원번호],표1[[#This Row],[번호]])</f>
        <v>3</v>
      </c>
      <c r="K7" s="1"/>
      <c r="N7" s="1"/>
      <c r="O7" s="3"/>
      <c r="P7" s="1"/>
    </row>
    <row r="8" spans="1:18" x14ac:dyDescent="0.3">
      <c r="A8" s="1">
        <v>7</v>
      </c>
      <c r="B8" s="1" t="s">
        <v>37</v>
      </c>
      <c r="C8" s="1" t="s">
        <v>38</v>
      </c>
      <c r="D8" s="1" t="s">
        <v>39</v>
      </c>
      <c r="E8" s="1">
        <v>845658</v>
      </c>
      <c r="F8" s="1" t="s">
        <v>40</v>
      </c>
      <c r="G8" s="1" t="s">
        <v>41</v>
      </c>
      <c r="H8" s="3">
        <f>SUMIF(표3[회원번호],표1[[#This Row],[번호]],표3[금액]) + SUMIF(표4[회원번호],표1[[#This Row],[번호]],표4[합계])</f>
        <v>783100</v>
      </c>
      <c r="I8" s="1">
        <f>COUNTIF(표3[회원번호],표1[[#This Row],[번호]])</f>
        <v>1</v>
      </c>
      <c r="K8" s="1"/>
      <c r="L8" s="1"/>
      <c r="M8" s="1"/>
      <c r="N8" s="1"/>
      <c r="O8" s="3"/>
      <c r="P8" s="1"/>
    </row>
    <row r="9" spans="1:18" x14ac:dyDescent="0.3">
      <c r="A9" s="1">
        <v>8</v>
      </c>
      <c r="B9" s="1" t="s">
        <v>42</v>
      </c>
      <c r="C9" s="1" t="s">
        <v>43</v>
      </c>
      <c r="D9" s="1" t="s">
        <v>44</v>
      </c>
      <c r="E9" s="1">
        <v>987456</v>
      </c>
      <c r="F9" s="1" t="s">
        <v>45</v>
      </c>
      <c r="G9" s="1" t="s">
        <v>46</v>
      </c>
      <c r="H9" s="3">
        <f>SUMIF(표3[회원번호],표1[[#This Row],[번호]],표3[금액]) + SUMIF(표4[회원번호],표1[[#This Row],[번호]],표4[합계])</f>
        <v>311250</v>
      </c>
      <c r="I9" s="1">
        <f>COUNTIF(표3[회원번호],표1[[#This Row],[번호]])</f>
        <v>1</v>
      </c>
      <c r="K9" s="1"/>
      <c r="L9" s="1"/>
      <c r="M9" s="1"/>
      <c r="N9" s="1"/>
      <c r="O9" s="3"/>
      <c r="P9" s="1"/>
    </row>
    <row r="10" spans="1:18" x14ac:dyDescent="0.3">
      <c r="A10" s="1">
        <v>9</v>
      </c>
      <c r="B10" s="1" t="s">
        <v>47</v>
      </c>
      <c r="C10" s="1" t="s">
        <v>48</v>
      </c>
      <c r="D10" s="1" t="s">
        <v>49</v>
      </c>
      <c r="E10" s="1">
        <v>251387</v>
      </c>
      <c r="F10" s="1" t="s">
        <v>50</v>
      </c>
      <c r="G10" s="1" t="s">
        <v>51</v>
      </c>
      <c r="H10" s="3">
        <f>SUMIF(표3[회원번호],표1[[#This Row],[번호]],표3[금액]) + SUMIF(표4[회원번호],표1[[#This Row],[번호]],표4[합계])</f>
        <v>530450</v>
      </c>
      <c r="I10" s="1">
        <f>COUNTIF(표3[회원번호],표1[[#This Row],[번호]])</f>
        <v>1</v>
      </c>
      <c r="K10" s="1"/>
      <c r="L10" s="1"/>
      <c r="M10" s="1"/>
      <c r="N10" s="1"/>
      <c r="O10" s="3"/>
      <c r="P10" s="1"/>
    </row>
    <row r="11" spans="1:18" x14ac:dyDescent="0.3">
      <c r="A11" s="1">
        <v>10</v>
      </c>
      <c r="B11" s="1" t="s">
        <v>52</v>
      </c>
      <c r="C11" s="1" t="s">
        <v>53</v>
      </c>
      <c r="D11" s="1" t="s">
        <v>54</v>
      </c>
      <c r="E11" s="1">
        <v>200156</v>
      </c>
      <c r="F11" s="1" t="s">
        <v>55</v>
      </c>
      <c r="G11" s="1" t="s">
        <v>56</v>
      </c>
      <c r="H11" s="3">
        <f>SUMIF(표3[회원번호],표1[[#This Row],[번호]],표3[금액]) + SUMIF(표4[회원번호],표1[[#This Row],[번호]],표4[합계])</f>
        <v>120500</v>
      </c>
      <c r="I11" s="1">
        <f>COUNTIF(표3[회원번호],표1[[#This Row],[번호]])</f>
        <v>1</v>
      </c>
      <c r="K11" s="1"/>
      <c r="L11" s="1"/>
      <c r="M11" s="1"/>
      <c r="N11" s="1"/>
      <c r="O11" s="3"/>
      <c r="P11" s="1"/>
    </row>
    <row r="12" spans="1:18" x14ac:dyDescent="0.3">
      <c r="A12" s="1">
        <v>11</v>
      </c>
      <c r="B12" s="1" t="s">
        <v>57</v>
      </c>
      <c r="C12" s="1" t="s">
        <v>58</v>
      </c>
      <c r="D12" s="1" t="s">
        <v>59</v>
      </c>
      <c r="E12" s="1">
        <v>5242</v>
      </c>
      <c r="F12" s="1" t="s">
        <v>60</v>
      </c>
      <c r="G12" s="1" t="s">
        <v>61</v>
      </c>
      <c r="H12" s="3">
        <f>SUMIF(표3[회원번호],표1[[#This Row],[번호]],표3[금액]) + SUMIF(표4[회원번호],표1[[#This Row],[번호]],표4[합계])</f>
        <v>227500</v>
      </c>
      <c r="I12" s="1">
        <f>COUNTIF(표3[회원번호],표1[[#This Row],[번호]])</f>
        <v>2</v>
      </c>
      <c r="K12" s="1"/>
      <c r="L12" s="1"/>
      <c r="M12" s="1"/>
      <c r="N12" s="1"/>
      <c r="O12" s="3"/>
      <c r="P12" s="1"/>
    </row>
    <row r="13" spans="1:18" x14ac:dyDescent="0.3">
      <c r="A13" s="1">
        <v>12</v>
      </c>
      <c r="B13" s="1" t="s">
        <v>62</v>
      </c>
      <c r="C13" s="1" t="s">
        <v>63</v>
      </c>
      <c r="D13" s="1" t="s">
        <v>64</v>
      </c>
      <c r="E13" s="1">
        <v>528965</v>
      </c>
      <c r="F13" s="1" t="s">
        <v>65</v>
      </c>
      <c r="G13" s="1" t="s">
        <v>66</v>
      </c>
      <c r="H13" s="3">
        <f>SUMIF(표3[회원번호],표1[[#This Row],[번호]],표3[금액]) + SUMIF(표4[회원번호],표1[[#This Row],[번호]],표4[합계])</f>
        <v>527000</v>
      </c>
      <c r="I13" s="1">
        <f>COUNTIF(표3[회원번호],표1[[#This Row],[번호]])</f>
        <v>4</v>
      </c>
      <c r="K13" s="1"/>
      <c r="L13" s="1"/>
      <c r="M13" s="1"/>
      <c r="N13" s="1"/>
      <c r="O13" s="3"/>
      <c r="P13" s="1"/>
    </row>
    <row r="14" spans="1:18" x14ac:dyDescent="0.3">
      <c r="A14" s="1">
        <v>13</v>
      </c>
      <c r="B14" s="1" t="s">
        <v>67</v>
      </c>
      <c r="C14" s="1" t="s">
        <v>68</v>
      </c>
      <c r="D14" s="1" t="s">
        <v>69</v>
      </c>
      <c r="E14" s="1">
        <v>102253</v>
      </c>
      <c r="F14" s="1" t="s">
        <v>70</v>
      </c>
      <c r="G14" s="1" t="s">
        <v>71</v>
      </c>
      <c r="H14" s="3">
        <f>SUMIF(표3[회원번호],표1[[#This Row],[번호]],표3[금액]) + SUMIF(표4[회원번호],표1[[#This Row],[번호]],표4[합계])</f>
        <v>1893700</v>
      </c>
      <c r="I14" s="1">
        <f>COUNTIF(표3[회원번호],표1[[#This Row],[번호]])</f>
        <v>3</v>
      </c>
      <c r="K14" s="1"/>
      <c r="L14" s="1"/>
      <c r="M14" s="1"/>
      <c r="N14" s="1"/>
      <c r="O14" s="3"/>
      <c r="P14" s="1"/>
    </row>
    <row r="15" spans="1:18" x14ac:dyDescent="0.3">
      <c r="A15" s="1">
        <v>14</v>
      </c>
      <c r="B15" s="1" t="s">
        <v>72</v>
      </c>
      <c r="C15" s="1" t="s">
        <v>73</v>
      </c>
      <c r="D15" s="1" t="s">
        <v>74</v>
      </c>
      <c r="E15" s="1">
        <v>15457</v>
      </c>
      <c r="F15" s="1" t="s">
        <v>75</v>
      </c>
      <c r="G15" s="1" t="s">
        <v>76</v>
      </c>
      <c r="H15" s="3">
        <f>SUMIF(표3[회원번호],표1[[#This Row],[번호]],표3[금액]) + SUMIF(표4[회원번호],표1[[#This Row],[번호]],표4[합계])</f>
        <v>586650</v>
      </c>
      <c r="I15" s="1">
        <f>COUNTIF(표3[회원번호],표1[[#This Row],[번호]])</f>
        <v>1</v>
      </c>
      <c r="K15" s="1"/>
      <c r="L15" s="1"/>
      <c r="M15" s="1"/>
      <c r="N15" s="1"/>
      <c r="O15" s="3"/>
      <c r="P15" s="1"/>
    </row>
    <row r="16" spans="1:18" x14ac:dyDescent="0.3">
      <c r="A16" s="1">
        <v>15</v>
      </c>
      <c r="B16" s="1" t="s">
        <v>77</v>
      </c>
      <c r="C16" s="1" t="s">
        <v>78</v>
      </c>
      <c r="D16" s="1" t="s">
        <v>79</v>
      </c>
      <c r="E16" s="1">
        <v>841310</v>
      </c>
      <c r="F16" s="1" t="s">
        <v>80</v>
      </c>
      <c r="G16" s="1" t="s">
        <v>81</v>
      </c>
      <c r="H16" s="3">
        <f>SUMIF(표3[회원번호],표1[[#This Row],[번호]],표3[금액]) + SUMIF(표4[회원번호],표1[[#This Row],[번호]],표4[합계])</f>
        <v>0</v>
      </c>
      <c r="I16" s="1">
        <f>COUNTIF(표3[회원번호],표1[[#This Row],[번호]])</f>
        <v>0</v>
      </c>
      <c r="K16" s="1"/>
      <c r="L16" s="1"/>
      <c r="M16" s="1"/>
      <c r="N16" s="1"/>
      <c r="O16" s="3"/>
      <c r="P16" s="1"/>
    </row>
    <row r="17" spans="1:16" x14ac:dyDescent="0.3">
      <c r="A17" s="1">
        <v>16</v>
      </c>
      <c r="B17" s="1" t="s">
        <v>82</v>
      </c>
      <c r="C17" s="1" t="s">
        <v>83</v>
      </c>
      <c r="D17" s="1" t="s">
        <v>84</v>
      </c>
      <c r="E17" s="1">
        <v>222574</v>
      </c>
      <c r="F17" s="1" t="s">
        <v>85</v>
      </c>
      <c r="G17" s="1" t="s">
        <v>86</v>
      </c>
      <c r="H17" s="3">
        <f>SUMIF(표3[회원번호],표1[[#This Row],[번호]],표3[금액]) + SUMIF(표4[회원번호],표1[[#This Row],[번호]],표4[합계])</f>
        <v>53550</v>
      </c>
      <c r="I17" s="1">
        <f>COUNTIF(표3[회원번호],표1[[#This Row],[번호]])</f>
        <v>0</v>
      </c>
      <c r="K17" s="1"/>
      <c r="L17" s="1"/>
      <c r="M17" s="1"/>
      <c r="N17" s="1"/>
      <c r="O17" s="3"/>
      <c r="P17" s="1"/>
    </row>
    <row r="18" spans="1:16" x14ac:dyDescent="0.3">
      <c r="A18" s="1">
        <v>17</v>
      </c>
      <c r="B18" s="1" t="s">
        <v>87</v>
      </c>
      <c r="C18" s="1" t="s">
        <v>88</v>
      </c>
      <c r="D18" s="1" t="s">
        <v>89</v>
      </c>
      <c r="E18" s="1">
        <v>25896</v>
      </c>
      <c r="F18" s="1" t="s">
        <v>90</v>
      </c>
      <c r="G18" s="1" t="s">
        <v>91</v>
      </c>
      <c r="H18" s="3">
        <f>SUMIF(표3[회원번호],표1[[#This Row],[번호]],표3[금액]) + SUMIF(표4[회원번호],표1[[#This Row],[번호]],표4[합계])</f>
        <v>520000</v>
      </c>
      <c r="I18" s="1">
        <f>COUNTIF(표3[회원번호],표1[[#This Row],[번호]])</f>
        <v>3</v>
      </c>
      <c r="K18" s="1"/>
      <c r="L18" s="1"/>
      <c r="M18" s="1"/>
      <c r="N18" s="1"/>
      <c r="O18" s="3"/>
      <c r="P18" s="1"/>
    </row>
    <row r="19" spans="1:16" x14ac:dyDescent="0.3">
      <c r="A19" s="1">
        <v>18</v>
      </c>
      <c r="B19" s="1" t="s">
        <v>92</v>
      </c>
      <c r="C19" s="1" t="s">
        <v>93</v>
      </c>
      <c r="D19" s="1" t="s">
        <v>94</v>
      </c>
      <c r="E19" s="1">
        <v>316497</v>
      </c>
      <c r="F19" s="1" t="s">
        <v>95</v>
      </c>
      <c r="G19" s="1" t="s">
        <v>96</v>
      </c>
      <c r="H19" s="3">
        <f>SUMIF(표3[회원번호],표1[[#This Row],[번호]],표3[금액]) + SUMIF(표4[회원번호],표1[[#This Row],[번호]],표4[합계])</f>
        <v>0</v>
      </c>
      <c r="I19" s="1">
        <f>COUNTIF(표3[회원번호],표1[[#This Row],[번호]])</f>
        <v>0</v>
      </c>
      <c r="K19" s="1"/>
      <c r="L19" s="1"/>
      <c r="M19" s="1"/>
      <c r="N19" s="1"/>
      <c r="O19" s="3"/>
      <c r="P19" s="1"/>
    </row>
    <row r="20" spans="1:16" x14ac:dyDescent="0.3">
      <c r="A20" s="1">
        <v>19</v>
      </c>
      <c r="B20" s="1" t="s">
        <v>97</v>
      </c>
      <c r="C20" s="1" t="s">
        <v>98</v>
      </c>
      <c r="D20" s="1" t="s">
        <v>99</v>
      </c>
      <c r="E20" s="1">
        <v>852014</v>
      </c>
      <c r="F20" s="1" t="s">
        <v>100</v>
      </c>
      <c r="G20" s="1" t="s">
        <v>101</v>
      </c>
      <c r="H20" s="3">
        <f>SUMIF(표3[회원번호],표1[[#This Row],[번호]],표3[금액]) + SUMIF(표4[회원번호],표1[[#This Row],[번호]],표4[합계])</f>
        <v>568500</v>
      </c>
      <c r="I20" s="1">
        <f>COUNTIF(표3[회원번호],표1[[#This Row],[번호]])</f>
        <v>3</v>
      </c>
      <c r="K20" s="1"/>
      <c r="L20" s="1"/>
      <c r="M20" s="1"/>
      <c r="N20" s="1"/>
      <c r="O20" s="3"/>
      <c r="P20" s="1"/>
    </row>
    <row r="21" spans="1:16" x14ac:dyDescent="0.3">
      <c r="A21" s="1">
        <v>20</v>
      </c>
      <c r="B21" s="1" t="s">
        <v>102</v>
      </c>
      <c r="C21" s="1" t="s">
        <v>103</v>
      </c>
      <c r="D21" s="1" t="s">
        <v>104</v>
      </c>
      <c r="E21" s="1">
        <v>985620</v>
      </c>
      <c r="F21" s="1" t="s">
        <v>105</v>
      </c>
      <c r="G21" s="1" t="s">
        <v>106</v>
      </c>
      <c r="H21" s="3">
        <f>SUMIF(표3[회원번호],표1[[#This Row],[번호]],표3[금액]) + SUMIF(표4[회원번호],표1[[#This Row],[번호]],표4[합계])</f>
        <v>320000</v>
      </c>
      <c r="I21" s="39">
        <f>COUNTIF(표3[회원번호],표1[[#This Row],[번호]])</f>
        <v>5</v>
      </c>
      <c r="K21" s="1"/>
      <c r="L21" s="1"/>
      <c r="M21" s="1"/>
      <c r="N21" s="1"/>
      <c r="O21" s="3"/>
      <c r="P21" s="1"/>
    </row>
  </sheetData>
  <sortState ref="N2:P4">
    <sortCondition descending="1" ref="O2:O4"/>
    <sortCondition descending="1" ref="P2:P4"/>
    <sortCondition ref="N2:N4"/>
  </sortState>
  <phoneticPr fontId="1" type="noConversion"/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workbookViewId="0">
      <selection activeCell="A2" sqref="A2:A21"/>
    </sheetView>
  </sheetViews>
  <sheetFormatPr defaultRowHeight="16.5" x14ac:dyDescent="0.3"/>
  <cols>
    <col min="1" max="1" width="5.25" style="1" bestFit="1" customWidth="1"/>
    <col min="2" max="2" width="40.5" style="1" bestFit="1" customWidth="1"/>
    <col min="3" max="3" width="39.875" style="1" customWidth="1"/>
    <col min="4" max="4" width="13" style="13" bestFit="1" customWidth="1"/>
  </cols>
  <sheetData>
    <row r="1" spans="1:26" x14ac:dyDescent="0.3">
      <c r="A1" s="1" t="s">
        <v>0</v>
      </c>
      <c r="B1" s="1" t="s">
        <v>107</v>
      </c>
      <c r="C1" s="1" t="s">
        <v>108</v>
      </c>
      <c r="D1" s="3" t="s">
        <v>211</v>
      </c>
    </row>
    <row r="2" spans="1:26" x14ac:dyDescent="0.3">
      <c r="A2" s="1">
        <v>1</v>
      </c>
      <c r="B2" s="1" t="s">
        <v>109</v>
      </c>
      <c r="C2" s="2" t="s">
        <v>110</v>
      </c>
      <c r="D2" s="3">
        <f>SUMIF(표3[후원번호],표7[[#This Row],[번호]],표3[금액])</f>
        <v>745000</v>
      </c>
    </row>
    <row r="3" spans="1:26" x14ac:dyDescent="0.3">
      <c r="A3" s="1">
        <v>2</v>
      </c>
      <c r="B3" s="1" t="s">
        <v>111</v>
      </c>
      <c r="C3" s="2" t="s">
        <v>112</v>
      </c>
      <c r="D3" s="3">
        <f>SUMIF(표3[후원번호],표7[[#This Row],[번호]],표3[금액])</f>
        <v>25000</v>
      </c>
      <c r="Z3" t="e">
        <f>VLOOKUP(후원하기!Z2,표7[[제목]:[총모금액]],1)</f>
        <v>#N/A</v>
      </c>
    </row>
    <row r="4" spans="1:26" x14ac:dyDescent="0.3">
      <c r="A4" s="1">
        <v>3</v>
      </c>
      <c r="B4" s="1" t="s">
        <v>113</v>
      </c>
      <c r="C4" s="2" t="s">
        <v>114</v>
      </c>
      <c r="D4" s="3">
        <f>SUMIF(표3[후원번호],표7[[#This Row],[번호]],표3[금액])</f>
        <v>290000</v>
      </c>
    </row>
    <row r="5" spans="1:26" x14ac:dyDescent="0.3">
      <c r="A5" s="1">
        <v>4</v>
      </c>
      <c r="B5" s="1" t="s">
        <v>115</v>
      </c>
      <c r="C5" s="2" t="s">
        <v>116</v>
      </c>
      <c r="D5" s="3">
        <f>SUMIF(표3[후원번호],표7[[#This Row],[번호]],표3[금액])</f>
        <v>895000</v>
      </c>
    </row>
    <row r="6" spans="1:26" x14ac:dyDescent="0.3">
      <c r="A6" s="1">
        <v>5</v>
      </c>
      <c r="B6" s="1" t="s">
        <v>117</v>
      </c>
      <c r="C6" s="2" t="s">
        <v>118</v>
      </c>
      <c r="D6" s="3">
        <f>SUMIF(표3[후원번호],표7[[#This Row],[번호]],표3[금액])</f>
        <v>55000</v>
      </c>
    </row>
    <row r="7" spans="1:26" x14ac:dyDescent="0.3">
      <c r="A7" s="1">
        <v>6</v>
      </c>
      <c r="B7" s="1" t="s">
        <v>119</v>
      </c>
      <c r="C7" s="2" t="s">
        <v>120</v>
      </c>
      <c r="D7" s="3">
        <f>SUMIF(표3[후원번호],표7[[#This Row],[번호]],표3[금액])</f>
        <v>460000</v>
      </c>
    </row>
    <row r="8" spans="1:26" x14ac:dyDescent="0.3">
      <c r="A8" s="1">
        <v>7</v>
      </c>
      <c r="B8" s="1" t="s">
        <v>121</v>
      </c>
      <c r="C8" s="2" t="s">
        <v>122</v>
      </c>
      <c r="D8" s="3">
        <f>SUMIF(표3[후원번호],표7[[#This Row],[번호]],표3[금액])</f>
        <v>30000</v>
      </c>
    </row>
    <row r="9" spans="1:26" x14ac:dyDescent="0.3">
      <c r="A9" s="1">
        <v>8</v>
      </c>
      <c r="B9" s="1" t="s">
        <v>123</v>
      </c>
      <c r="C9" s="2" t="s">
        <v>124</v>
      </c>
      <c r="D9" s="3">
        <f>SUMIF(표3[후원번호],표7[[#This Row],[번호]],표3[금액])</f>
        <v>150000</v>
      </c>
    </row>
    <row r="10" spans="1:26" x14ac:dyDescent="0.3">
      <c r="A10" s="1">
        <v>9</v>
      </c>
      <c r="B10" s="1" t="s">
        <v>125</v>
      </c>
      <c r="C10" s="2" t="s">
        <v>126</v>
      </c>
      <c r="D10" s="3">
        <f>SUMIF(표3[후원번호],표7[[#This Row],[번호]],표3[금액])</f>
        <v>190000</v>
      </c>
    </row>
    <row r="11" spans="1:26" x14ac:dyDescent="0.3">
      <c r="A11" s="1">
        <v>10</v>
      </c>
      <c r="B11" s="1" t="s">
        <v>127</v>
      </c>
      <c r="C11" s="2" t="s">
        <v>128</v>
      </c>
      <c r="D11" s="3">
        <f>SUMIF(표3[후원번호],표7[[#This Row],[번호]],표3[금액])</f>
        <v>295000</v>
      </c>
    </row>
    <row r="12" spans="1:26" x14ac:dyDescent="0.3">
      <c r="A12" s="1">
        <v>11</v>
      </c>
      <c r="B12" s="1" t="s">
        <v>129</v>
      </c>
      <c r="C12" s="2" t="s">
        <v>130</v>
      </c>
      <c r="D12" s="3">
        <f>SUMIF(표3[후원번호],표7[[#This Row],[번호]],표3[금액])</f>
        <v>595000</v>
      </c>
    </row>
    <row r="13" spans="1:26" x14ac:dyDescent="0.3">
      <c r="A13" s="1">
        <v>12</v>
      </c>
      <c r="B13" s="1" t="s">
        <v>131</v>
      </c>
      <c r="C13" s="2" t="s">
        <v>132</v>
      </c>
      <c r="D13" s="3">
        <f>SUMIF(표3[후원번호],표7[[#This Row],[번호]],표3[금액])</f>
        <v>715000</v>
      </c>
    </row>
    <row r="14" spans="1:26" x14ac:dyDescent="0.3">
      <c r="A14" s="1">
        <v>13</v>
      </c>
      <c r="B14" s="1" t="s">
        <v>133</v>
      </c>
      <c r="C14" s="2" t="s">
        <v>134</v>
      </c>
      <c r="D14" s="3">
        <f>SUMIF(표3[후원번호],표7[[#This Row],[번호]],표3[금액])</f>
        <v>45000</v>
      </c>
    </row>
    <row r="15" spans="1:26" x14ac:dyDescent="0.3">
      <c r="A15" s="1">
        <v>14</v>
      </c>
      <c r="B15" s="1" t="s">
        <v>135</v>
      </c>
      <c r="C15" s="2" t="s">
        <v>136</v>
      </c>
      <c r="D15" s="3">
        <f>SUMIF(표3[후원번호],표7[[#This Row],[번호]],표3[금액])</f>
        <v>30000</v>
      </c>
    </row>
    <row r="16" spans="1:26" x14ac:dyDescent="0.3">
      <c r="A16" s="1">
        <v>15</v>
      </c>
      <c r="B16" s="1" t="s">
        <v>137</v>
      </c>
      <c r="C16" s="2" t="s">
        <v>138</v>
      </c>
      <c r="D16" s="3">
        <f>SUMIF(표3[후원번호],표7[[#This Row],[번호]],표3[금액])</f>
        <v>0</v>
      </c>
    </row>
    <row r="17" spans="1:4" x14ac:dyDescent="0.3">
      <c r="A17" s="1">
        <v>16</v>
      </c>
      <c r="B17" s="1" t="s">
        <v>139</v>
      </c>
      <c r="C17" s="2" t="s">
        <v>140</v>
      </c>
      <c r="D17" s="3">
        <f>SUMIF(표3[후원번호],표7[[#This Row],[번호]],표3[금액])</f>
        <v>0</v>
      </c>
    </row>
    <row r="18" spans="1:4" x14ac:dyDescent="0.3">
      <c r="A18" s="1">
        <v>17</v>
      </c>
      <c r="B18" s="1" t="s">
        <v>141</v>
      </c>
      <c r="C18" s="2" t="s">
        <v>142</v>
      </c>
      <c r="D18" s="3">
        <f>SUMIF(표3[후원번호],표7[[#This Row],[번호]],표3[금액])</f>
        <v>120000</v>
      </c>
    </row>
    <row r="19" spans="1:4" x14ac:dyDescent="0.3">
      <c r="A19" s="1">
        <v>18</v>
      </c>
      <c r="B19" s="1" t="s">
        <v>143</v>
      </c>
      <c r="C19" s="2" t="s">
        <v>144</v>
      </c>
      <c r="D19" s="3">
        <f>SUMIF(표3[후원번호],표7[[#This Row],[번호]],표3[금액])</f>
        <v>0</v>
      </c>
    </row>
    <row r="20" spans="1:4" x14ac:dyDescent="0.3">
      <c r="A20" s="1">
        <v>19</v>
      </c>
      <c r="B20" s="1" t="s">
        <v>145</v>
      </c>
      <c r="C20" s="2" t="s">
        <v>146</v>
      </c>
      <c r="D20" s="3">
        <f>SUMIF(표3[후원번호],표7[[#This Row],[번호]],표3[금액])</f>
        <v>210000</v>
      </c>
    </row>
    <row r="21" spans="1:4" x14ac:dyDescent="0.3">
      <c r="A21" s="1">
        <v>20</v>
      </c>
      <c r="B21" s="1" t="s">
        <v>147</v>
      </c>
      <c r="C21" s="2" t="s">
        <v>148</v>
      </c>
      <c r="D21" s="3">
        <f>SUMIF(표3[후원번호],표7[[#This Row],[번호]],표3[금액])</f>
        <v>590000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53"/>
  <sheetViews>
    <sheetView topLeftCell="B1" workbookViewId="0">
      <selection activeCell="C34" sqref="C34"/>
    </sheetView>
  </sheetViews>
  <sheetFormatPr defaultRowHeight="16.5" x14ac:dyDescent="0.3"/>
  <cols>
    <col min="1" max="1" width="5.25" style="1" bestFit="1" customWidth="1"/>
    <col min="2" max="3" width="9" style="1" bestFit="1" customWidth="1"/>
    <col min="4" max="4" width="11.375" style="1" bestFit="1" customWidth="1"/>
    <col min="5" max="5" width="11.125" style="1" bestFit="1" customWidth="1"/>
    <col min="9" max="9" width="9.25" bestFit="1" customWidth="1"/>
    <col min="11" max="11" width="5.25" bestFit="1" customWidth="1"/>
    <col min="14" max="14" width="6.875" bestFit="1" customWidth="1"/>
    <col min="15" max="15" width="11.125" bestFit="1" customWidth="1"/>
  </cols>
  <sheetData>
    <row r="1" spans="1:24" x14ac:dyDescent="0.3">
      <c r="A1" s="1" t="s">
        <v>0</v>
      </c>
      <c r="B1" s="1" t="s">
        <v>193</v>
      </c>
      <c r="C1" s="1" t="s">
        <v>194</v>
      </c>
      <c r="D1" s="1" t="s">
        <v>195</v>
      </c>
      <c r="E1" s="1" t="s">
        <v>196</v>
      </c>
      <c r="I1" t="s">
        <v>276</v>
      </c>
      <c r="K1" s="10" t="s">
        <v>0</v>
      </c>
      <c r="L1" s="10" t="s">
        <v>193</v>
      </c>
      <c r="M1" s="10" t="s">
        <v>194</v>
      </c>
      <c r="N1" s="10" t="s">
        <v>195</v>
      </c>
      <c r="O1" s="10" t="s">
        <v>196</v>
      </c>
      <c r="X1">
        <v>1</v>
      </c>
    </row>
    <row r="2" spans="1:24" x14ac:dyDescent="0.3">
      <c r="A2" s="1">
        <v>1</v>
      </c>
      <c r="B2" s="1">
        <v>2</v>
      </c>
      <c r="C2" s="1">
        <v>14</v>
      </c>
      <c r="D2" s="3">
        <v>30000</v>
      </c>
      <c r="E2" s="4">
        <v>44789</v>
      </c>
      <c r="I2" s="18">
        <v>1</v>
      </c>
      <c r="K2" s="1">
        <v>2</v>
      </c>
      <c r="L2" s="1">
        <v>1</v>
      </c>
      <c r="M2" s="1">
        <v>3</v>
      </c>
      <c r="N2" s="3">
        <v>65000</v>
      </c>
      <c r="O2" s="4">
        <v>44789</v>
      </c>
    </row>
    <row r="3" spans="1:24" x14ac:dyDescent="0.3">
      <c r="A3" s="1">
        <v>2</v>
      </c>
      <c r="B3" s="1">
        <v>1</v>
      </c>
      <c r="C3" s="1">
        <v>3</v>
      </c>
      <c r="D3" s="3">
        <v>65000</v>
      </c>
      <c r="E3" s="4">
        <v>44789</v>
      </c>
      <c r="K3" s="1">
        <v>6</v>
      </c>
      <c r="L3" s="1">
        <v>1</v>
      </c>
      <c r="M3" s="1">
        <v>1</v>
      </c>
      <c r="N3" s="3">
        <v>75000</v>
      </c>
      <c r="O3" s="4">
        <v>44789</v>
      </c>
    </row>
    <row r="4" spans="1:24" x14ac:dyDescent="0.3">
      <c r="A4" s="1">
        <v>3</v>
      </c>
      <c r="B4" s="1">
        <v>4</v>
      </c>
      <c r="C4" s="1">
        <v>4</v>
      </c>
      <c r="D4" s="3">
        <v>100000</v>
      </c>
      <c r="E4" s="4">
        <v>44789</v>
      </c>
      <c r="K4" s="1">
        <v>7</v>
      </c>
      <c r="L4" s="1">
        <v>1</v>
      </c>
      <c r="M4" s="1">
        <v>4</v>
      </c>
      <c r="N4" s="3">
        <v>50000</v>
      </c>
      <c r="O4" s="4">
        <v>44790</v>
      </c>
    </row>
    <row r="5" spans="1:24" x14ac:dyDescent="0.3">
      <c r="A5" s="1">
        <v>4</v>
      </c>
      <c r="B5" s="1">
        <v>5</v>
      </c>
      <c r="C5" s="1">
        <v>12</v>
      </c>
      <c r="D5" s="3">
        <v>150000</v>
      </c>
      <c r="E5" s="4">
        <v>44789</v>
      </c>
      <c r="K5" s="1">
        <v>18</v>
      </c>
      <c r="L5" s="1">
        <v>1</v>
      </c>
      <c r="M5" s="1">
        <v>4</v>
      </c>
      <c r="N5" s="3">
        <v>75000</v>
      </c>
      <c r="O5" s="4">
        <v>44794</v>
      </c>
    </row>
    <row r="6" spans="1:24" x14ac:dyDescent="0.3">
      <c r="A6" s="1">
        <v>5</v>
      </c>
      <c r="B6" s="1">
        <v>6</v>
      </c>
      <c r="C6" s="1">
        <v>19</v>
      </c>
      <c r="D6" s="3">
        <v>10000</v>
      </c>
      <c r="E6" s="4">
        <v>44789</v>
      </c>
      <c r="K6" s="1">
        <v>27</v>
      </c>
      <c r="L6" s="1">
        <v>1</v>
      </c>
      <c r="M6" s="1">
        <v>4</v>
      </c>
      <c r="N6" s="3">
        <v>55000</v>
      </c>
      <c r="O6" s="4">
        <v>44797</v>
      </c>
    </row>
    <row r="7" spans="1:24" x14ac:dyDescent="0.3">
      <c r="A7" s="1">
        <v>6</v>
      </c>
      <c r="B7" s="1">
        <v>1</v>
      </c>
      <c r="C7" s="1">
        <v>1</v>
      </c>
      <c r="D7" s="3">
        <v>75000</v>
      </c>
      <c r="E7" s="4">
        <v>44789</v>
      </c>
      <c r="K7" s="1">
        <v>39</v>
      </c>
      <c r="L7" s="1">
        <v>1</v>
      </c>
      <c r="M7" s="1">
        <v>13</v>
      </c>
      <c r="N7" s="3">
        <v>45000</v>
      </c>
      <c r="O7" s="4">
        <v>44800</v>
      </c>
    </row>
    <row r="8" spans="1:24" x14ac:dyDescent="0.3">
      <c r="A8" s="1">
        <v>7</v>
      </c>
      <c r="B8" s="1">
        <v>1</v>
      </c>
      <c r="C8" s="1">
        <v>4</v>
      </c>
      <c r="D8" s="3">
        <v>50000</v>
      </c>
      <c r="E8" s="4">
        <v>44790</v>
      </c>
    </row>
    <row r="9" spans="1:24" x14ac:dyDescent="0.3">
      <c r="A9" s="1">
        <v>8</v>
      </c>
      <c r="B9" s="1">
        <v>7</v>
      </c>
      <c r="C9" s="1">
        <v>11</v>
      </c>
      <c r="D9" s="3">
        <v>500000</v>
      </c>
      <c r="E9" s="4">
        <v>44791</v>
      </c>
    </row>
    <row r="10" spans="1:24" x14ac:dyDescent="0.3">
      <c r="A10" s="1">
        <v>9</v>
      </c>
      <c r="B10" s="1">
        <v>8</v>
      </c>
      <c r="C10" s="1">
        <v>8</v>
      </c>
      <c r="D10" s="3">
        <v>80000</v>
      </c>
      <c r="E10" s="4">
        <v>44791</v>
      </c>
    </row>
    <row r="11" spans="1:24" x14ac:dyDescent="0.3">
      <c r="A11" s="1">
        <v>10</v>
      </c>
      <c r="B11" s="1">
        <v>9</v>
      </c>
      <c r="C11" s="1">
        <v>9</v>
      </c>
      <c r="D11" s="3">
        <v>40000</v>
      </c>
      <c r="E11" s="4">
        <v>44791</v>
      </c>
    </row>
    <row r="12" spans="1:24" x14ac:dyDescent="0.3">
      <c r="A12" s="1">
        <v>11</v>
      </c>
      <c r="B12" s="1">
        <v>10</v>
      </c>
      <c r="C12" s="1">
        <v>10</v>
      </c>
      <c r="D12" s="3">
        <v>15000</v>
      </c>
      <c r="E12" s="4">
        <v>44792</v>
      </c>
    </row>
    <row r="13" spans="1:24" x14ac:dyDescent="0.3">
      <c r="A13" s="1">
        <v>12</v>
      </c>
      <c r="B13" s="1">
        <v>11</v>
      </c>
      <c r="C13" s="1">
        <v>12</v>
      </c>
      <c r="D13" s="3">
        <v>65000</v>
      </c>
      <c r="E13" s="4">
        <v>44792</v>
      </c>
    </row>
    <row r="14" spans="1:24" x14ac:dyDescent="0.3">
      <c r="A14" s="1">
        <v>13</v>
      </c>
      <c r="B14" s="1">
        <v>3</v>
      </c>
      <c r="C14" s="1">
        <v>3</v>
      </c>
      <c r="D14" s="3">
        <v>95000</v>
      </c>
      <c r="E14" s="4">
        <v>44792</v>
      </c>
    </row>
    <row r="15" spans="1:24" x14ac:dyDescent="0.3">
      <c r="A15" s="1">
        <v>14</v>
      </c>
      <c r="B15" s="1">
        <v>4</v>
      </c>
      <c r="C15" s="1">
        <v>9</v>
      </c>
      <c r="D15" s="3">
        <v>80000</v>
      </c>
      <c r="E15" s="4">
        <v>44792</v>
      </c>
    </row>
    <row r="16" spans="1:24" x14ac:dyDescent="0.3">
      <c r="A16" s="1">
        <v>15</v>
      </c>
      <c r="B16" s="1">
        <v>12</v>
      </c>
      <c r="C16" s="1">
        <v>10</v>
      </c>
      <c r="D16" s="3">
        <v>30000</v>
      </c>
      <c r="E16" s="4">
        <v>44793</v>
      </c>
    </row>
    <row r="17" spans="1:5" x14ac:dyDescent="0.3">
      <c r="A17" s="1">
        <v>16</v>
      </c>
      <c r="B17" s="1">
        <v>4</v>
      </c>
      <c r="C17" s="1">
        <v>11</v>
      </c>
      <c r="D17" s="3">
        <v>50000</v>
      </c>
      <c r="E17" s="4">
        <v>44793</v>
      </c>
    </row>
    <row r="18" spans="1:5" x14ac:dyDescent="0.3">
      <c r="A18" s="1">
        <v>17</v>
      </c>
      <c r="B18" s="1">
        <v>2</v>
      </c>
      <c r="C18" s="1">
        <v>3</v>
      </c>
      <c r="D18" s="3">
        <v>85000</v>
      </c>
      <c r="E18" s="4">
        <v>44793</v>
      </c>
    </row>
    <row r="19" spans="1:5" x14ac:dyDescent="0.3">
      <c r="A19" s="1">
        <v>18</v>
      </c>
      <c r="B19" s="1">
        <v>1</v>
      </c>
      <c r="C19" s="1">
        <v>4</v>
      </c>
      <c r="D19" s="3">
        <v>75000</v>
      </c>
      <c r="E19" s="4">
        <v>44794</v>
      </c>
    </row>
    <row r="20" spans="1:5" x14ac:dyDescent="0.3">
      <c r="A20" s="1">
        <v>19</v>
      </c>
      <c r="B20" s="1">
        <v>4</v>
      </c>
      <c r="C20" s="1">
        <v>12</v>
      </c>
      <c r="D20" s="3">
        <v>500000</v>
      </c>
      <c r="E20" s="4">
        <v>44794</v>
      </c>
    </row>
    <row r="21" spans="1:5" x14ac:dyDescent="0.3">
      <c r="A21" s="1">
        <v>20</v>
      </c>
      <c r="B21" s="1">
        <v>12</v>
      </c>
      <c r="C21" s="1">
        <v>4</v>
      </c>
      <c r="D21" s="3">
        <v>10000</v>
      </c>
      <c r="E21" s="4">
        <v>44794</v>
      </c>
    </row>
    <row r="22" spans="1:5" x14ac:dyDescent="0.3">
      <c r="A22" s="1">
        <v>21</v>
      </c>
      <c r="B22" s="1">
        <v>13</v>
      </c>
      <c r="C22" s="1">
        <v>10</v>
      </c>
      <c r="D22" s="3">
        <v>60000</v>
      </c>
      <c r="E22" s="4">
        <v>44795</v>
      </c>
    </row>
    <row r="23" spans="1:5" x14ac:dyDescent="0.3">
      <c r="A23" s="1">
        <v>22</v>
      </c>
      <c r="B23" s="1">
        <v>14</v>
      </c>
      <c r="C23" s="1">
        <v>8</v>
      </c>
      <c r="D23" s="3">
        <v>25000</v>
      </c>
      <c r="E23" s="4">
        <v>44795</v>
      </c>
    </row>
    <row r="24" spans="1:5" x14ac:dyDescent="0.3">
      <c r="A24" s="1">
        <v>23</v>
      </c>
      <c r="B24" s="1">
        <v>3</v>
      </c>
      <c r="C24" s="1">
        <v>9</v>
      </c>
      <c r="D24" s="3">
        <v>15000</v>
      </c>
      <c r="E24" s="4">
        <v>44795</v>
      </c>
    </row>
    <row r="25" spans="1:5" x14ac:dyDescent="0.3">
      <c r="A25" s="1">
        <v>24</v>
      </c>
      <c r="B25" s="1">
        <v>4</v>
      </c>
      <c r="C25" s="1">
        <v>10</v>
      </c>
      <c r="D25" s="3">
        <v>190000</v>
      </c>
      <c r="E25" s="4">
        <v>44795</v>
      </c>
    </row>
    <row r="26" spans="1:5" x14ac:dyDescent="0.3">
      <c r="A26" s="1">
        <v>25</v>
      </c>
      <c r="B26" s="1">
        <v>12</v>
      </c>
      <c r="C26" s="1">
        <v>11</v>
      </c>
      <c r="D26" s="3">
        <v>30000</v>
      </c>
      <c r="E26" s="4">
        <v>44796</v>
      </c>
    </row>
    <row r="27" spans="1:5" x14ac:dyDescent="0.3">
      <c r="A27" s="1">
        <v>26</v>
      </c>
      <c r="B27" s="1">
        <v>19</v>
      </c>
      <c r="C27" s="1">
        <v>3</v>
      </c>
      <c r="D27" s="3">
        <v>45000</v>
      </c>
      <c r="E27" s="4">
        <v>44797</v>
      </c>
    </row>
    <row r="28" spans="1:5" x14ac:dyDescent="0.3">
      <c r="A28" s="1">
        <v>27</v>
      </c>
      <c r="B28" s="1">
        <v>1</v>
      </c>
      <c r="C28" s="1">
        <v>4</v>
      </c>
      <c r="D28" s="3">
        <v>55000</v>
      </c>
      <c r="E28" s="4">
        <v>44797</v>
      </c>
    </row>
    <row r="29" spans="1:5" x14ac:dyDescent="0.3">
      <c r="A29" s="1">
        <v>28</v>
      </c>
      <c r="B29" s="1">
        <v>11</v>
      </c>
      <c r="C29" s="1">
        <v>4</v>
      </c>
      <c r="D29" s="3">
        <v>75000</v>
      </c>
      <c r="E29" s="4">
        <v>44797</v>
      </c>
    </row>
    <row r="30" spans="1:5" x14ac:dyDescent="0.3">
      <c r="A30" s="1">
        <v>29</v>
      </c>
      <c r="B30" s="1">
        <v>3</v>
      </c>
      <c r="C30" s="1">
        <v>5</v>
      </c>
      <c r="D30" s="3">
        <v>40000</v>
      </c>
      <c r="E30" s="4">
        <v>44797</v>
      </c>
    </row>
    <row r="31" spans="1:5" x14ac:dyDescent="0.3">
      <c r="A31" s="1">
        <v>30</v>
      </c>
      <c r="B31" s="1">
        <v>4</v>
      </c>
      <c r="C31" s="1">
        <v>6</v>
      </c>
      <c r="D31" s="3">
        <v>10000</v>
      </c>
      <c r="E31" s="4">
        <v>44797</v>
      </c>
    </row>
    <row r="32" spans="1:5" x14ac:dyDescent="0.3">
      <c r="A32" s="1">
        <v>31</v>
      </c>
      <c r="B32" s="1">
        <v>5</v>
      </c>
      <c r="C32" s="1">
        <v>1</v>
      </c>
      <c r="D32" s="3">
        <v>15000</v>
      </c>
      <c r="E32" s="4">
        <v>44797</v>
      </c>
    </row>
    <row r="33" spans="1:5" x14ac:dyDescent="0.3">
      <c r="A33" s="1">
        <v>32</v>
      </c>
      <c r="B33" s="1">
        <v>3</v>
      </c>
      <c r="C33" s="1">
        <v>1</v>
      </c>
      <c r="D33" s="3">
        <v>190000</v>
      </c>
      <c r="E33" s="4">
        <v>44797</v>
      </c>
    </row>
    <row r="34" spans="1:5" x14ac:dyDescent="0.3">
      <c r="A34" s="1">
        <v>33</v>
      </c>
      <c r="B34" s="1">
        <v>6</v>
      </c>
      <c r="C34" s="1">
        <v>7</v>
      </c>
      <c r="D34" s="3">
        <v>30000</v>
      </c>
      <c r="E34" s="4">
        <v>44798</v>
      </c>
    </row>
    <row r="35" spans="1:5" x14ac:dyDescent="0.3">
      <c r="A35" s="1">
        <v>34</v>
      </c>
      <c r="B35" s="1">
        <v>20</v>
      </c>
      <c r="C35" s="1">
        <v>8</v>
      </c>
      <c r="D35" s="3">
        <v>45000</v>
      </c>
      <c r="E35" s="4">
        <v>44798</v>
      </c>
    </row>
    <row r="36" spans="1:5" x14ac:dyDescent="0.3">
      <c r="A36" s="1">
        <v>35</v>
      </c>
      <c r="B36" s="1">
        <v>17</v>
      </c>
      <c r="C36" s="1">
        <v>9</v>
      </c>
      <c r="D36" s="3">
        <v>55000</v>
      </c>
      <c r="E36" s="4">
        <v>44798</v>
      </c>
    </row>
    <row r="37" spans="1:5" x14ac:dyDescent="0.3">
      <c r="A37" s="1">
        <v>36</v>
      </c>
      <c r="B37" s="1">
        <v>19</v>
      </c>
      <c r="C37" s="1">
        <v>17</v>
      </c>
      <c r="D37" s="3">
        <v>75000</v>
      </c>
      <c r="E37" s="4">
        <v>44799</v>
      </c>
    </row>
    <row r="38" spans="1:5" x14ac:dyDescent="0.3">
      <c r="A38" s="1">
        <v>37</v>
      </c>
      <c r="B38" s="1">
        <v>20</v>
      </c>
      <c r="C38" s="1">
        <v>19</v>
      </c>
      <c r="D38" s="3">
        <v>190000</v>
      </c>
      <c r="E38" s="4">
        <v>44799</v>
      </c>
    </row>
    <row r="39" spans="1:5" x14ac:dyDescent="0.3">
      <c r="A39" s="1">
        <v>38</v>
      </c>
      <c r="B39" s="1">
        <v>2</v>
      </c>
      <c r="C39" s="1">
        <v>20</v>
      </c>
      <c r="D39" s="3">
        <v>30000</v>
      </c>
      <c r="E39" s="4">
        <v>44800</v>
      </c>
    </row>
    <row r="40" spans="1:5" x14ac:dyDescent="0.3">
      <c r="A40" s="1">
        <v>39</v>
      </c>
      <c r="B40" s="1">
        <v>1</v>
      </c>
      <c r="C40" s="1">
        <v>13</v>
      </c>
      <c r="D40" s="3">
        <v>45000</v>
      </c>
      <c r="E40" s="4">
        <v>44800</v>
      </c>
    </row>
    <row r="41" spans="1:5" x14ac:dyDescent="0.3">
      <c r="A41" s="1">
        <v>40</v>
      </c>
      <c r="B41" s="1">
        <v>4</v>
      </c>
      <c r="C41" s="1">
        <v>5</v>
      </c>
      <c r="D41" s="3">
        <v>15000</v>
      </c>
      <c r="E41" s="4">
        <v>44800</v>
      </c>
    </row>
    <row r="42" spans="1:5" x14ac:dyDescent="0.3">
      <c r="A42" s="1">
        <v>41</v>
      </c>
      <c r="B42" s="1">
        <v>12</v>
      </c>
      <c r="C42" s="1">
        <v>6</v>
      </c>
      <c r="D42" s="3">
        <v>450000</v>
      </c>
      <c r="E42" s="4">
        <v>44800</v>
      </c>
    </row>
    <row r="43" spans="1:5" x14ac:dyDescent="0.3">
      <c r="A43" s="1">
        <v>42</v>
      </c>
      <c r="B43" s="1">
        <v>13</v>
      </c>
      <c r="C43" s="1">
        <v>20</v>
      </c>
      <c r="D43" s="3">
        <v>500000</v>
      </c>
      <c r="E43" s="4">
        <v>44800</v>
      </c>
    </row>
    <row r="44" spans="1:5" x14ac:dyDescent="0.3">
      <c r="A44" s="1">
        <v>43</v>
      </c>
      <c r="B44" s="1">
        <v>5</v>
      </c>
      <c r="C44" s="1">
        <v>19</v>
      </c>
      <c r="D44" s="3">
        <v>10000</v>
      </c>
      <c r="E44" s="4">
        <v>44801</v>
      </c>
    </row>
    <row r="45" spans="1:5" x14ac:dyDescent="0.3">
      <c r="A45" s="1">
        <v>44</v>
      </c>
      <c r="B45" s="1">
        <v>6</v>
      </c>
      <c r="C45" s="1">
        <v>20</v>
      </c>
      <c r="D45" s="3">
        <v>60000</v>
      </c>
      <c r="E45" s="4">
        <v>44801</v>
      </c>
    </row>
    <row r="46" spans="1:5" x14ac:dyDescent="0.3">
      <c r="A46" s="1">
        <v>45</v>
      </c>
      <c r="B46" s="1">
        <v>20</v>
      </c>
      <c r="C46" s="1">
        <v>2</v>
      </c>
      <c r="D46" s="3">
        <v>25000</v>
      </c>
      <c r="E46" s="4">
        <v>44801</v>
      </c>
    </row>
    <row r="47" spans="1:5" x14ac:dyDescent="0.3">
      <c r="A47" s="1">
        <v>46</v>
      </c>
      <c r="B47" s="1">
        <v>17</v>
      </c>
      <c r="C47" s="1">
        <v>1</v>
      </c>
      <c r="D47" s="3">
        <v>15000</v>
      </c>
      <c r="E47" s="4">
        <v>44801</v>
      </c>
    </row>
    <row r="48" spans="1:5" x14ac:dyDescent="0.3">
      <c r="A48" s="1">
        <v>47</v>
      </c>
      <c r="B48" s="1">
        <v>19</v>
      </c>
      <c r="C48" s="1">
        <v>4</v>
      </c>
      <c r="D48" s="3">
        <v>30000</v>
      </c>
      <c r="E48" s="4">
        <v>44802</v>
      </c>
    </row>
    <row r="49" spans="1:5" x14ac:dyDescent="0.3">
      <c r="A49" s="1">
        <v>48</v>
      </c>
      <c r="B49" s="1">
        <v>20</v>
      </c>
      <c r="C49" s="1">
        <v>17</v>
      </c>
      <c r="D49" s="3">
        <v>45000</v>
      </c>
      <c r="E49" s="4">
        <v>44802</v>
      </c>
    </row>
    <row r="50" spans="1:5" x14ac:dyDescent="0.3">
      <c r="A50" s="1">
        <v>49</v>
      </c>
      <c r="B50" s="1">
        <v>20</v>
      </c>
      <c r="C50" s="1">
        <v>11</v>
      </c>
      <c r="D50" s="3">
        <v>15000</v>
      </c>
      <c r="E50" s="4">
        <v>44802</v>
      </c>
    </row>
    <row r="51" spans="1:5" x14ac:dyDescent="0.3">
      <c r="A51" s="1">
        <v>50</v>
      </c>
      <c r="B51" s="1">
        <v>17</v>
      </c>
      <c r="C51" s="1">
        <v>1</v>
      </c>
      <c r="D51" s="3">
        <v>450000</v>
      </c>
      <c r="E51" s="4">
        <v>44802</v>
      </c>
    </row>
    <row r="52" spans="1:5" x14ac:dyDescent="0.3">
      <c r="A52" s="1">
        <v>51</v>
      </c>
      <c r="B52" s="1">
        <v>13</v>
      </c>
      <c r="C52" s="1">
        <v>4</v>
      </c>
      <c r="D52" s="3">
        <v>500000</v>
      </c>
      <c r="E52" s="4">
        <v>44802</v>
      </c>
    </row>
    <row r="53" spans="1:5" x14ac:dyDescent="0.3">
      <c r="D53" s="3"/>
      <c r="E53" s="4"/>
    </row>
  </sheetData>
  <sortState ref="K2:O7">
    <sortCondition descending="1" ref="N2:N7"/>
    <sortCondition ref="K2:K7"/>
  </sortState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5"/>
  <sheetViews>
    <sheetView workbookViewId="0">
      <selection activeCell="D1" sqref="D1"/>
    </sheetView>
  </sheetViews>
  <sheetFormatPr defaultRowHeight="16.5" x14ac:dyDescent="0.3"/>
  <cols>
    <col min="1" max="1" width="5.25" bestFit="1" customWidth="1"/>
    <col min="2" max="3" width="9" bestFit="1" customWidth="1"/>
    <col min="4" max="4" width="5.25" bestFit="1" customWidth="1"/>
  </cols>
  <sheetData>
    <row r="1" spans="1:8" x14ac:dyDescent="0.3">
      <c r="A1" s="1" t="s">
        <v>0</v>
      </c>
      <c r="B1" s="1" t="s">
        <v>193</v>
      </c>
      <c r="C1" s="1" t="s">
        <v>197</v>
      </c>
      <c r="D1" s="1" t="s">
        <v>198</v>
      </c>
      <c r="E1" s="1" t="s">
        <v>213</v>
      </c>
      <c r="H1" s="12"/>
    </row>
    <row r="2" spans="1:8" x14ac:dyDescent="0.3">
      <c r="A2" s="1">
        <v>1</v>
      </c>
      <c r="B2" s="1">
        <v>10</v>
      </c>
      <c r="C2" s="1" t="s">
        <v>153</v>
      </c>
      <c r="D2" s="1">
        <v>2</v>
      </c>
      <c r="E2" s="1">
        <f t="array" ref="E2">SUM((표4[[#This Row],[굿즈번호]]=표2[번호])*표2[가격]*표2[기부퍼센트])*표4[[#This Row],[수량]]</f>
        <v>42000</v>
      </c>
    </row>
    <row r="3" spans="1:8" x14ac:dyDescent="0.3">
      <c r="A3" s="1">
        <v>2</v>
      </c>
      <c r="B3" s="1">
        <v>12</v>
      </c>
      <c r="C3" s="1" t="s">
        <v>159</v>
      </c>
      <c r="D3" s="1">
        <v>1</v>
      </c>
      <c r="E3" s="1">
        <f t="array" ref="E3">SUM((표4[[#This Row],[굿즈번호]]=표2[번호])*표2[가격]*표2[기부퍼센트])*표4[[#This Row],[수량]]</f>
        <v>7000</v>
      </c>
    </row>
    <row r="4" spans="1:8" x14ac:dyDescent="0.3">
      <c r="A4" s="1">
        <v>3</v>
      </c>
      <c r="B4" s="1">
        <v>1</v>
      </c>
      <c r="C4" s="1" t="s">
        <v>165</v>
      </c>
      <c r="D4" s="1">
        <v>5</v>
      </c>
      <c r="E4" s="1">
        <f t="array" ref="E4">SUM((표4[[#This Row],[굿즈번호]]=표2[번호])*표2[가격]*표2[기부퍼센트])*표4[[#This Row],[수량]]</f>
        <v>106250</v>
      </c>
      <c r="H4" s="11"/>
    </row>
    <row r="5" spans="1:8" x14ac:dyDescent="0.3">
      <c r="A5" s="1">
        <v>4</v>
      </c>
      <c r="B5" s="1">
        <v>14</v>
      </c>
      <c r="C5" s="1" t="s">
        <v>169</v>
      </c>
      <c r="D5" s="1">
        <v>3</v>
      </c>
      <c r="E5" s="1">
        <f t="array" ref="E5">SUM((표4[[#This Row],[굿즈번호]]=표2[번호])*표2[가격]*표2[기부퍼센트])*표4[[#This Row],[수량]]</f>
        <v>135000</v>
      </c>
    </row>
    <row r="6" spans="1:8" x14ac:dyDescent="0.3">
      <c r="A6" s="1">
        <v>5</v>
      </c>
      <c r="B6" s="1">
        <v>5</v>
      </c>
      <c r="C6" s="1" t="s">
        <v>159</v>
      </c>
      <c r="D6" s="1">
        <v>5</v>
      </c>
      <c r="E6" s="1">
        <f t="array" ref="E6">SUM((표4[[#This Row],[굿즈번호]]=표2[번호])*표2[가격]*표2[기부퍼센트])*표4[[#This Row],[수량]]</f>
        <v>35000</v>
      </c>
    </row>
    <row r="7" spans="1:8" x14ac:dyDescent="0.3">
      <c r="A7" s="1">
        <v>6</v>
      </c>
      <c r="B7" s="1">
        <v>1</v>
      </c>
      <c r="C7" s="1" t="s">
        <v>165</v>
      </c>
      <c r="D7" s="1">
        <v>3</v>
      </c>
      <c r="E7" s="1">
        <f t="array" ref="E7">SUM((표4[[#This Row],[굿즈번호]]=표2[번호])*표2[가격]*표2[기부퍼센트])*표4[[#This Row],[수량]]</f>
        <v>63750</v>
      </c>
    </row>
    <row r="8" spans="1:8" x14ac:dyDescent="0.3">
      <c r="A8" s="1">
        <v>7</v>
      </c>
      <c r="B8" s="1">
        <v>7</v>
      </c>
      <c r="C8" s="1" t="s">
        <v>173</v>
      </c>
      <c r="D8" s="1">
        <v>2</v>
      </c>
      <c r="E8" s="1">
        <f t="array" ref="E8">SUM((표4[[#This Row],[굿즈번호]]=표2[번호])*표2[가격]*표2[기부퍼센트])*표4[[#This Row],[수량]]</f>
        <v>30000</v>
      </c>
    </row>
    <row r="9" spans="1:8" x14ac:dyDescent="0.3">
      <c r="A9" s="1">
        <v>8</v>
      </c>
      <c r="B9" s="1">
        <v>13</v>
      </c>
      <c r="C9" s="1" t="s">
        <v>159</v>
      </c>
      <c r="D9" s="1">
        <v>1</v>
      </c>
      <c r="E9" s="1">
        <f t="array" ref="E9">SUM((표4[[#This Row],[굿즈번호]]=표2[번호])*표2[가격]*표2[기부퍼센트])*표4[[#This Row],[수량]]</f>
        <v>7000</v>
      </c>
    </row>
    <row r="10" spans="1:8" x14ac:dyDescent="0.3">
      <c r="A10" s="1">
        <v>9</v>
      </c>
      <c r="B10" s="1">
        <v>8</v>
      </c>
      <c r="C10" s="1" t="s">
        <v>173</v>
      </c>
      <c r="D10" s="1">
        <v>5</v>
      </c>
      <c r="E10" s="1">
        <f t="array" ref="E10">SUM((표4[[#This Row],[굿즈번호]]=표2[번호])*표2[가격]*표2[기부퍼센트])*표4[[#This Row],[수량]]</f>
        <v>75000</v>
      </c>
    </row>
    <row r="11" spans="1:8" x14ac:dyDescent="0.3">
      <c r="A11" s="1">
        <v>10</v>
      </c>
      <c r="B11" s="1">
        <v>9</v>
      </c>
      <c r="C11" s="1" t="s">
        <v>159</v>
      </c>
      <c r="D11" s="1">
        <v>6</v>
      </c>
      <c r="E11" s="1">
        <f t="array" ref="E11">SUM((표4[[#This Row],[굿즈번호]]=표2[번호])*표2[가격]*표2[기부퍼센트])*표4[[#This Row],[수량]]</f>
        <v>42000</v>
      </c>
    </row>
    <row r="12" spans="1:8" x14ac:dyDescent="0.3">
      <c r="A12" s="1">
        <v>11</v>
      </c>
      <c r="B12" s="1">
        <v>10</v>
      </c>
      <c r="C12" s="1" t="s">
        <v>159</v>
      </c>
      <c r="D12" s="1">
        <v>3</v>
      </c>
      <c r="E12" s="1">
        <f t="array" ref="E12">SUM((표4[[#This Row],[굿즈번호]]=표2[번호])*표2[가격]*표2[기부퍼센트])*표4[[#This Row],[수량]]</f>
        <v>21000</v>
      </c>
    </row>
    <row r="13" spans="1:8" x14ac:dyDescent="0.3">
      <c r="A13" s="1">
        <v>12</v>
      </c>
      <c r="B13" s="1">
        <v>1</v>
      </c>
      <c r="C13" s="1" t="s">
        <v>165</v>
      </c>
      <c r="D13" s="1">
        <v>3</v>
      </c>
      <c r="E13" s="1">
        <f t="array" ref="E13">SUM((표4[[#This Row],[굿즈번호]]=표2[번호])*표2[가격]*표2[기부퍼센트])*표4[[#This Row],[수량]]</f>
        <v>63750</v>
      </c>
    </row>
    <row r="14" spans="1:8" x14ac:dyDescent="0.3">
      <c r="A14" s="1">
        <v>13</v>
      </c>
      <c r="B14" s="1">
        <v>13</v>
      </c>
      <c r="C14" s="1" t="s">
        <v>169</v>
      </c>
      <c r="D14" s="1">
        <v>6</v>
      </c>
      <c r="E14" s="1">
        <f t="array" ref="E14">SUM((표4[[#This Row],[굿즈번호]]=표2[번호])*표2[가격]*표2[기부퍼센트])*표4[[#This Row],[수량]]</f>
        <v>270000</v>
      </c>
    </row>
    <row r="15" spans="1:8" x14ac:dyDescent="0.3">
      <c r="A15" s="1">
        <v>14</v>
      </c>
      <c r="B15" s="1">
        <v>4</v>
      </c>
      <c r="C15" s="1" t="s">
        <v>183</v>
      </c>
      <c r="D15" s="1">
        <v>2</v>
      </c>
      <c r="E15" s="1">
        <f t="array" ref="E15">SUM((표4[[#This Row],[굿즈번호]]=표2[번호])*표2[가격]*표2[기부퍼센트])*표4[[#This Row],[수량]]</f>
        <v>77400</v>
      </c>
    </row>
    <row r="16" spans="1:8" x14ac:dyDescent="0.3">
      <c r="A16" s="1">
        <v>15</v>
      </c>
      <c r="B16" s="1">
        <v>5</v>
      </c>
      <c r="C16" s="1" t="s">
        <v>173</v>
      </c>
      <c r="D16" s="1">
        <v>2</v>
      </c>
      <c r="E16" s="1">
        <f t="array" ref="E16">SUM((표4[[#This Row],[굿즈번호]]=표2[번호])*표2[가격]*표2[기부퍼센트])*표4[[#This Row],[수량]]</f>
        <v>30000</v>
      </c>
    </row>
    <row r="17" spans="1:5" x14ac:dyDescent="0.3">
      <c r="A17" s="1">
        <v>16</v>
      </c>
      <c r="B17" s="1">
        <v>16</v>
      </c>
      <c r="C17" s="1" t="s">
        <v>191</v>
      </c>
      <c r="D17" s="1">
        <v>1</v>
      </c>
      <c r="E17" s="1">
        <f t="array" ref="E17">SUM((표4[[#This Row],[굿즈번호]]=표2[번호])*표2[가격]*표2[기부퍼센트])*표4[[#This Row],[수량]]</f>
        <v>53550</v>
      </c>
    </row>
    <row r="18" spans="1:5" x14ac:dyDescent="0.3">
      <c r="A18" s="1">
        <v>17</v>
      </c>
      <c r="B18" s="1">
        <v>6</v>
      </c>
      <c r="C18" s="1" t="s">
        <v>169</v>
      </c>
      <c r="D18" s="1">
        <v>1</v>
      </c>
      <c r="E18" s="1">
        <f t="array" ref="E18">SUM((표4[[#This Row],[굿즈번호]]=표2[번호])*표2[가격]*표2[기부퍼센트])*표4[[#This Row],[수량]]</f>
        <v>45000</v>
      </c>
    </row>
    <row r="19" spans="1:5" x14ac:dyDescent="0.3">
      <c r="A19" s="1">
        <v>18</v>
      </c>
      <c r="B19" s="1">
        <v>7</v>
      </c>
      <c r="C19" s="1" t="s">
        <v>181</v>
      </c>
      <c r="D19" s="1">
        <v>1</v>
      </c>
      <c r="E19" s="1">
        <f t="array" ref="E19">SUM((표4[[#This Row],[굿즈번호]]=표2[번호])*표2[가격]*표2[기부퍼센트])*표4[[#This Row],[수량]]</f>
        <v>20900</v>
      </c>
    </row>
    <row r="20" spans="1:5" x14ac:dyDescent="0.3">
      <c r="A20" s="1">
        <v>19</v>
      </c>
      <c r="B20" s="1">
        <v>8</v>
      </c>
      <c r="C20" s="1" t="s">
        <v>165</v>
      </c>
      <c r="D20" s="1">
        <v>1</v>
      </c>
      <c r="E20" s="1">
        <f t="array" ref="E20">SUM((표4[[#This Row],[굿즈번호]]=표2[번호])*표2[가격]*표2[기부퍼센트])*표4[[#This Row],[수량]]</f>
        <v>21250</v>
      </c>
    </row>
    <row r="21" spans="1:5" x14ac:dyDescent="0.3">
      <c r="A21" s="1">
        <v>20</v>
      </c>
      <c r="B21" s="1">
        <v>9</v>
      </c>
      <c r="C21" s="1" t="s">
        <v>165</v>
      </c>
      <c r="D21" s="1">
        <v>5</v>
      </c>
      <c r="E21" s="1">
        <f t="array" ref="E21">SUM((표4[[#This Row],[굿즈번호]]=표2[번호])*표2[가격]*표2[기부퍼센트])*표4[[#This Row],[수량]]</f>
        <v>106250</v>
      </c>
    </row>
    <row r="22" spans="1:5" x14ac:dyDescent="0.3">
      <c r="A22" s="1">
        <v>21</v>
      </c>
      <c r="B22" s="1">
        <v>14</v>
      </c>
      <c r="C22" s="1" t="s">
        <v>165</v>
      </c>
      <c r="D22" s="1">
        <v>2</v>
      </c>
      <c r="E22" s="1">
        <f t="array" ref="E22">SUM((표4[[#This Row],[굿즈번호]]=표2[번호])*표2[가격]*표2[기부퍼센트])*표4[[#This Row],[수량]]</f>
        <v>42500</v>
      </c>
    </row>
    <row r="23" spans="1:5" x14ac:dyDescent="0.3">
      <c r="A23" s="1">
        <v>22</v>
      </c>
      <c r="B23" s="1">
        <v>11</v>
      </c>
      <c r="C23" s="1" t="s">
        <v>173</v>
      </c>
      <c r="D23" s="1">
        <v>3</v>
      </c>
      <c r="E23" s="1">
        <f t="array" ref="E23">SUM((표4[[#This Row],[굿즈번호]]=표2[번호])*표2[가격]*표2[기부퍼센트])*표4[[#This Row],[수량]]</f>
        <v>45000</v>
      </c>
    </row>
    <row r="24" spans="1:5" x14ac:dyDescent="0.3">
      <c r="A24" s="1">
        <v>23</v>
      </c>
      <c r="B24" s="1">
        <v>1</v>
      </c>
      <c r="C24" s="1" t="s">
        <v>159</v>
      </c>
      <c r="D24" s="1">
        <v>6</v>
      </c>
      <c r="E24" s="1">
        <f t="array" ref="E24">SUM((표4[[#This Row],[굿즈번호]]=표2[번호])*표2[가격]*표2[기부퍼센트])*표4[[#This Row],[수량]]</f>
        <v>42000</v>
      </c>
    </row>
    <row r="25" spans="1:5" x14ac:dyDescent="0.3">
      <c r="A25" s="1">
        <v>24</v>
      </c>
      <c r="B25" s="1">
        <v>13</v>
      </c>
      <c r="C25" s="1" t="s">
        <v>181</v>
      </c>
      <c r="D25" s="1">
        <v>5</v>
      </c>
      <c r="E25" s="1">
        <f t="array" ref="E25">SUM((표4[[#This Row],[굿즈번호]]=표2[번호])*표2[가격]*표2[기부퍼센트])*표4[[#This Row],[수량]]</f>
        <v>104500</v>
      </c>
    </row>
    <row r="26" spans="1:5" x14ac:dyDescent="0.3">
      <c r="A26" s="1">
        <v>25</v>
      </c>
      <c r="B26" s="1">
        <v>5</v>
      </c>
      <c r="C26" s="1" t="s">
        <v>159</v>
      </c>
      <c r="D26" s="1">
        <v>2</v>
      </c>
      <c r="E26" s="1">
        <f t="array" ref="E26">SUM((표4[[#This Row],[굿즈번호]]=표2[번호])*표2[가격]*표2[기부퍼센트])*표4[[#This Row],[수량]]</f>
        <v>14000</v>
      </c>
    </row>
    <row r="27" spans="1:5" x14ac:dyDescent="0.3">
      <c r="A27" s="1">
        <v>26</v>
      </c>
      <c r="B27" s="1">
        <v>1</v>
      </c>
      <c r="C27" s="1" t="s">
        <v>165</v>
      </c>
      <c r="D27" s="1">
        <v>1</v>
      </c>
      <c r="E27" s="1">
        <f t="array" ref="E27">SUM((표4[[#This Row],[굿즈번호]]=표2[번호])*표2[가격]*표2[기부퍼센트])*표4[[#This Row],[수량]]</f>
        <v>21250</v>
      </c>
    </row>
    <row r="28" spans="1:5" x14ac:dyDescent="0.3">
      <c r="A28" s="1">
        <v>27</v>
      </c>
      <c r="B28" s="1">
        <v>13</v>
      </c>
      <c r="C28" s="1" t="s">
        <v>169</v>
      </c>
      <c r="D28" s="1">
        <v>4</v>
      </c>
      <c r="E28" s="1">
        <f t="array" ref="E28">SUM((표4[[#This Row],[굿즈번호]]=표2[번호])*표2[가격]*표2[기부퍼센트])*표4[[#This Row],[수량]]</f>
        <v>180000</v>
      </c>
    </row>
    <row r="29" spans="1:5" x14ac:dyDescent="0.3">
      <c r="A29" s="1">
        <v>28</v>
      </c>
      <c r="B29" s="1">
        <v>14</v>
      </c>
      <c r="C29" s="1" t="s">
        <v>183</v>
      </c>
      <c r="D29" s="1">
        <v>8</v>
      </c>
      <c r="E29" s="1">
        <f t="array" ref="E29">SUM((표4[[#This Row],[굿즈번호]]=표2[번호])*표2[가격]*표2[기부퍼센트])*표4[[#This Row],[수량]]</f>
        <v>309600</v>
      </c>
    </row>
    <row r="30" spans="1:5" x14ac:dyDescent="0.3">
      <c r="A30" s="1">
        <v>29</v>
      </c>
      <c r="B30" s="1">
        <v>19</v>
      </c>
      <c r="C30" s="1" t="s">
        <v>183</v>
      </c>
      <c r="D30" s="1">
        <v>5</v>
      </c>
      <c r="E30" s="1">
        <f t="array" ref="E30">SUM((표4[[#This Row],[굿즈번호]]=표2[번호])*표2[가격]*표2[기부퍼센트])*표4[[#This Row],[수량]]</f>
        <v>193500</v>
      </c>
    </row>
    <row r="31" spans="1:5" x14ac:dyDescent="0.3">
      <c r="A31" s="1">
        <v>30</v>
      </c>
      <c r="B31" s="1">
        <v>13</v>
      </c>
      <c r="C31" s="1" t="s">
        <v>173</v>
      </c>
      <c r="D31" s="1">
        <v>7</v>
      </c>
      <c r="E31" s="1">
        <f t="array" ref="E31">SUM((표4[[#This Row],[굿즈번호]]=표2[번호])*표2[가격]*표2[기부퍼센트])*표4[[#This Row],[수량]]</f>
        <v>105000</v>
      </c>
    </row>
    <row r="32" spans="1:5" x14ac:dyDescent="0.3">
      <c r="A32" s="1">
        <v>31</v>
      </c>
      <c r="B32" s="1">
        <v>1</v>
      </c>
      <c r="C32" s="1" t="s">
        <v>191</v>
      </c>
      <c r="D32" s="1">
        <v>5</v>
      </c>
      <c r="E32" s="1">
        <f t="array" ref="E32">SUM((표4[[#This Row],[굿즈번호]]=표2[번호])*표2[가격]*표2[기부퍼센트])*표4[[#This Row],[수량]]</f>
        <v>267750</v>
      </c>
    </row>
    <row r="33" spans="1:5" x14ac:dyDescent="0.3">
      <c r="A33" s="1">
        <v>32</v>
      </c>
      <c r="B33" s="1">
        <v>8</v>
      </c>
      <c r="C33" s="1" t="s">
        <v>169</v>
      </c>
      <c r="D33" s="1">
        <v>2</v>
      </c>
      <c r="E33" s="1">
        <f t="array" ref="E33">SUM((표4[[#This Row],[굿즈번호]]=표2[번호])*표2[가격]*표2[기부퍼센트])*표4[[#This Row],[수량]]</f>
        <v>90000</v>
      </c>
    </row>
    <row r="34" spans="1:5" x14ac:dyDescent="0.3">
      <c r="A34" s="1">
        <v>33</v>
      </c>
      <c r="B34" s="1">
        <v>9</v>
      </c>
      <c r="C34" s="1" t="s">
        <v>181</v>
      </c>
      <c r="D34" s="1">
        <v>1</v>
      </c>
      <c r="E34" s="1">
        <f t="array" ref="E34">SUM((표4[[#This Row],[굿즈번호]]=표2[번호])*표2[가격]*표2[기부퍼센트])*표4[[#This Row],[수량]]</f>
        <v>20900</v>
      </c>
    </row>
    <row r="35" spans="1:5" x14ac:dyDescent="0.3">
      <c r="A35" s="1">
        <v>34</v>
      </c>
      <c r="B35" s="1">
        <v>10</v>
      </c>
      <c r="C35" s="1" t="s">
        <v>165</v>
      </c>
      <c r="D35" s="1">
        <v>2</v>
      </c>
      <c r="E35" s="1">
        <f t="array" ref="E35">SUM((표4[[#This Row],[굿즈번호]]=표2[번호])*표2[가격]*표2[기부퍼센트])*표4[[#This Row],[수량]]</f>
        <v>42500</v>
      </c>
    </row>
    <row r="36" spans="1:5" x14ac:dyDescent="0.3">
      <c r="A36" s="1">
        <v>35</v>
      </c>
      <c r="B36" s="1">
        <v>6</v>
      </c>
      <c r="C36" s="1" t="s">
        <v>169</v>
      </c>
      <c r="D36" s="1">
        <v>5</v>
      </c>
      <c r="E36" s="1">
        <f t="array" ref="E36">SUM((표4[[#This Row],[굿즈번호]]=표2[번호])*표2[가격]*표2[기부퍼센트])*표4[[#This Row],[수량]]</f>
        <v>225000</v>
      </c>
    </row>
    <row r="37" spans="1:5" x14ac:dyDescent="0.3">
      <c r="A37" s="1">
        <v>36</v>
      </c>
      <c r="B37" s="1">
        <v>7</v>
      </c>
      <c r="C37" s="1" t="s">
        <v>183</v>
      </c>
      <c r="D37" s="1">
        <v>6</v>
      </c>
      <c r="E37" s="1">
        <f t="array" ref="E37">SUM((표4[[#This Row],[굿즈번호]]=표2[번호])*표2[가격]*표2[기부퍼센트])*표4[[#This Row],[수량]]</f>
        <v>232200</v>
      </c>
    </row>
    <row r="38" spans="1:5" x14ac:dyDescent="0.3">
      <c r="A38" s="1">
        <v>37</v>
      </c>
      <c r="B38" s="1">
        <v>8</v>
      </c>
      <c r="C38" s="1" t="s">
        <v>173</v>
      </c>
      <c r="D38" s="1">
        <v>3</v>
      </c>
      <c r="E38" s="1">
        <f t="array" ref="E38">SUM((표4[[#This Row],[굿즈번호]]=표2[번호])*표2[가격]*표2[기부퍼센트])*표4[[#This Row],[수량]]</f>
        <v>45000</v>
      </c>
    </row>
    <row r="39" spans="1:5" x14ac:dyDescent="0.3">
      <c r="A39" s="1">
        <v>38</v>
      </c>
      <c r="B39" s="1">
        <v>9</v>
      </c>
      <c r="C39" s="1" t="s">
        <v>191</v>
      </c>
      <c r="D39" s="1">
        <v>6</v>
      </c>
      <c r="E39" s="1">
        <f t="array" ref="E39">SUM((표4[[#This Row],[굿즈번호]]=표2[번호])*표2[가격]*표2[기부퍼센트])*표4[[#This Row],[수량]]</f>
        <v>321300</v>
      </c>
    </row>
    <row r="40" spans="1:5" x14ac:dyDescent="0.3">
      <c r="A40" s="1">
        <v>39</v>
      </c>
      <c r="B40" s="1">
        <v>14</v>
      </c>
      <c r="C40" s="1" t="s">
        <v>159</v>
      </c>
      <c r="D40" s="1">
        <v>3</v>
      </c>
      <c r="E40" s="1">
        <f t="array" ref="E40">SUM((표4[[#This Row],[굿즈번호]]=표2[번호])*표2[가격]*표2[기부퍼센트])*표4[[#This Row],[수량]]</f>
        <v>21000</v>
      </c>
    </row>
    <row r="41" spans="1:5" x14ac:dyDescent="0.3">
      <c r="A41" s="1">
        <v>40</v>
      </c>
      <c r="B41" s="1">
        <v>11</v>
      </c>
      <c r="C41" s="1" t="s">
        <v>165</v>
      </c>
      <c r="D41" s="1">
        <v>2</v>
      </c>
      <c r="E41" s="1">
        <f t="array" ref="E41">SUM((표4[[#This Row],[굿즈번호]]=표2[번호])*표2[가격]*표2[기부퍼센트])*표4[[#This Row],[수량]]</f>
        <v>42500</v>
      </c>
    </row>
    <row r="42" spans="1:5" x14ac:dyDescent="0.3">
      <c r="A42" s="1">
        <v>41</v>
      </c>
      <c r="B42" s="1">
        <v>14</v>
      </c>
      <c r="C42" s="1" t="s">
        <v>191</v>
      </c>
      <c r="D42" s="1">
        <v>1</v>
      </c>
      <c r="E42" s="1">
        <f t="array" ref="E42">SUM((표4[[#This Row],[굿즈번호]]=표2[번호])*표2[가격]*표2[기부퍼센트])*표4[[#This Row],[수량]]</f>
        <v>53550</v>
      </c>
    </row>
    <row r="43" spans="1:5" x14ac:dyDescent="0.3">
      <c r="A43" s="1">
        <v>42</v>
      </c>
      <c r="B43" s="1">
        <v>19</v>
      </c>
      <c r="C43" s="1" t="s">
        <v>169</v>
      </c>
      <c r="D43" s="1">
        <v>5</v>
      </c>
      <c r="E43" s="1">
        <f t="array" ref="E43">SUM((표4[[#This Row],[굿즈번호]]=표2[번호])*표2[가격]*표2[기부퍼센트])*표4[[#This Row],[수량]]</f>
        <v>225000</v>
      </c>
    </row>
    <row r="44" spans="1:5" x14ac:dyDescent="0.3">
      <c r="A44" s="1">
        <v>43</v>
      </c>
      <c r="B44" s="1">
        <v>13</v>
      </c>
      <c r="C44" s="1" t="s">
        <v>181</v>
      </c>
      <c r="D44" s="1">
        <v>8</v>
      </c>
      <c r="E44" s="1">
        <f t="array" ref="E44">SUM((표4[[#This Row],[굿즈번호]]=표2[번호])*표2[가격]*표2[기부퍼센트])*표4[[#This Row],[수량]]</f>
        <v>167200</v>
      </c>
    </row>
    <row r="45" spans="1:5" x14ac:dyDescent="0.3">
      <c r="A45" s="1"/>
      <c r="B45" s="1"/>
      <c r="C45" s="1"/>
      <c r="D45" s="1"/>
      <c r="E45" s="39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4"/>
  <sheetViews>
    <sheetView workbookViewId="0">
      <selection activeCell="D4" sqref="D4"/>
    </sheetView>
  </sheetViews>
  <sheetFormatPr defaultRowHeight="16.5" x14ac:dyDescent="0.3"/>
  <cols>
    <col min="1" max="1" width="6.5" customWidth="1"/>
    <col min="2" max="2" width="14" customWidth="1"/>
    <col min="3" max="3" width="9" bestFit="1" customWidth="1"/>
    <col min="4" max="4" width="62" style="2" bestFit="1" customWidth="1"/>
  </cols>
  <sheetData>
    <row r="1" spans="1:4" x14ac:dyDescent="0.3">
      <c r="A1" s="1" t="s">
        <v>0</v>
      </c>
      <c r="B1" s="1" t="s">
        <v>199</v>
      </c>
      <c r="C1" s="1" t="s">
        <v>193</v>
      </c>
      <c r="D1" s="1" t="s">
        <v>200</v>
      </c>
    </row>
    <row r="2" spans="1:4" x14ac:dyDescent="0.3">
      <c r="A2" s="1">
        <v>1</v>
      </c>
      <c r="B2" s="1">
        <v>1</v>
      </c>
      <c r="C2" s="1">
        <v>14</v>
      </c>
      <c r="D2" s="2" t="s">
        <v>201</v>
      </c>
    </row>
    <row r="3" spans="1:4" x14ac:dyDescent="0.3">
      <c r="A3" s="1">
        <v>2</v>
      </c>
      <c r="B3" s="1">
        <v>4</v>
      </c>
      <c r="C3" s="1">
        <v>3</v>
      </c>
      <c r="D3" s="2" t="s">
        <v>202</v>
      </c>
    </row>
    <row r="4" spans="1:4" x14ac:dyDescent="0.3">
      <c r="A4" s="1">
        <v>3</v>
      </c>
      <c r="B4" s="1">
        <v>3</v>
      </c>
      <c r="C4" s="1">
        <v>4</v>
      </c>
      <c r="D4" s="2" t="s">
        <v>203</v>
      </c>
    </row>
    <row r="5" spans="1:4" x14ac:dyDescent="0.3">
      <c r="A5" s="1">
        <v>4</v>
      </c>
      <c r="B5" s="1">
        <v>4</v>
      </c>
      <c r="C5" s="1">
        <v>12</v>
      </c>
    </row>
    <row r="6" spans="1:4" x14ac:dyDescent="0.3">
      <c r="A6" s="1">
        <v>5</v>
      </c>
      <c r="B6" s="1">
        <v>5</v>
      </c>
      <c r="C6" s="1">
        <v>19</v>
      </c>
      <c r="D6" s="2" t="s">
        <v>204</v>
      </c>
    </row>
    <row r="7" spans="1:4" x14ac:dyDescent="0.3">
      <c r="A7" s="1">
        <v>6</v>
      </c>
      <c r="B7" s="1">
        <v>13</v>
      </c>
      <c r="C7" s="1">
        <v>1</v>
      </c>
    </row>
    <row r="8" spans="1:4" x14ac:dyDescent="0.3">
      <c r="A8" s="1">
        <v>7</v>
      </c>
      <c r="B8" s="1">
        <v>4</v>
      </c>
      <c r="C8" s="1">
        <v>4</v>
      </c>
      <c r="D8" s="2" t="s">
        <v>205</v>
      </c>
    </row>
    <row r="9" spans="1:4" x14ac:dyDescent="0.3">
      <c r="A9" s="1">
        <v>8</v>
      </c>
      <c r="B9" s="1">
        <v>20</v>
      </c>
      <c r="C9" s="1">
        <v>11</v>
      </c>
    </row>
    <row r="10" spans="1:4" x14ac:dyDescent="0.3">
      <c r="A10" s="1">
        <v>9</v>
      </c>
      <c r="B10" s="1">
        <v>16</v>
      </c>
      <c r="C10" s="1">
        <v>8</v>
      </c>
    </row>
    <row r="11" spans="1:4" x14ac:dyDescent="0.3">
      <c r="A11" s="1">
        <v>10</v>
      </c>
      <c r="B11" s="1">
        <v>13</v>
      </c>
      <c r="C11" s="1">
        <v>9</v>
      </c>
    </row>
    <row r="12" spans="1:4" x14ac:dyDescent="0.3">
      <c r="A12" s="1">
        <v>11</v>
      </c>
      <c r="B12" s="1">
        <v>11</v>
      </c>
      <c r="C12" s="1">
        <v>3</v>
      </c>
    </row>
    <row r="13" spans="1:4" x14ac:dyDescent="0.3">
      <c r="A13" s="1">
        <v>12</v>
      </c>
      <c r="B13" s="1">
        <v>17</v>
      </c>
      <c r="C13" s="1">
        <v>12</v>
      </c>
    </row>
    <row r="14" spans="1:4" x14ac:dyDescent="0.3">
      <c r="A14" s="1">
        <v>13</v>
      </c>
      <c r="B14" s="1">
        <v>20</v>
      </c>
      <c r="C14" s="1">
        <v>3</v>
      </c>
    </row>
    <row r="15" spans="1:4" x14ac:dyDescent="0.3">
      <c r="A15" s="1">
        <v>14</v>
      </c>
      <c r="B15" s="1">
        <v>12</v>
      </c>
      <c r="C15" s="1">
        <v>9</v>
      </c>
    </row>
    <row r="16" spans="1:4" x14ac:dyDescent="0.3">
      <c r="A16" s="1">
        <v>15</v>
      </c>
      <c r="B16" s="1">
        <v>11</v>
      </c>
      <c r="C16" s="1">
        <v>10</v>
      </c>
    </row>
    <row r="17" spans="1:4" x14ac:dyDescent="0.3">
      <c r="A17" s="1">
        <v>16</v>
      </c>
      <c r="B17" s="1">
        <v>20</v>
      </c>
      <c r="C17" s="1">
        <v>2</v>
      </c>
    </row>
    <row r="18" spans="1:4" x14ac:dyDescent="0.3">
      <c r="A18" s="1">
        <v>17</v>
      </c>
      <c r="B18" s="1">
        <v>6</v>
      </c>
      <c r="C18" s="1">
        <v>3</v>
      </c>
      <c r="D18" s="2" t="s">
        <v>206</v>
      </c>
    </row>
    <row r="19" spans="1:4" x14ac:dyDescent="0.3">
      <c r="A19" s="1">
        <v>18</v>
      </c>
      <c r="B19" s="1">
        <v>3</v>
      </c>
      <c r="C19" s="1">
        <v>1</v>
      </c>
    </row>
    <row r="20" spans="1:4" x14ac:dyDescent="0.3">
      <c r="A20" s="1">
        <v>19</v>
      </c>
      <c r="B20" s="1">
        <v>9</v>
      </c>
      <c r="C20" s="1">
        <v>12</v>
      </c>
    </row>
    <row r="21" spans="1:4" x14ac:dyDescent="0.3">
      <c r="A21" s="1">
        <v>20</v>
      </c>
      <c r="B21" s="1">
        <v>6</v>
      </c>
      <c r="C21" s="1">
        <v>1</v>
      </c>
    </row>
    <row r="22" spans="1:4" x14ac:dyDescent="0.3">
      <c r="A22" s="1">
        <v>21</v>
      </c>
      <c r="B22" s="1">
        <v>9</v>
      </c>
      <c r="C22" s="1">
        <v>10</v>
      </c>
    </row>
    <row r="23" spans="1:4" x14ac:dyDescent="0.3">
      <c r="A23" s="1">
        <v>22</v>
      </c>
      <c r="B23" s="1">
        <v>7</v>
      </c>
      <c r="C23" s="1">
        <v>8</v>
      </c>
      <c r="D23" s="2" t="s">
        <v>207</v>
      </c>
    </row>
    <row r="24" spans="1:4" x14ac:dyDescent="0.3">
      <c r="A24" s="1">
        <v>23</v>
      </c>
      <c r="B24" s="1">
        <v>6</v>
      </c>
      <c r="C24" s="1">
        <v>9</v>
      </c>
    </row>
    <row r="25" spans="1:4" x14ac:dyDescent="0.3">
      <c r="A25" s="1">
        <v>24</v>
      </c>
      <c r="B25" s="1">
        <v>10</v>
      </c>
      <c r="C25" s="1">
        <v>10</v>
      </c>
      <c r="D25" s="2" t="s">
        <v>208</v>
      </c>
    </row>
    <row r="26" spans="1:4" x14ac:dyDescent="0.3">
      <c r="A26" s="1">
        <v>25</v>
      </c>
      <c r="B26" s="1">
        <v>7</v>
      </c>
      <c r="C26" s="1">
        <v>11</v>
      </c>
    </row>
    <row r="27" spans="1:4" x14ac:dyDescent="0.3">
      <c r="A27" s="1">
        <v>26</v>
      </c>
      <c r="B27" s="1">
        <v>6</v>
      </c>
      <c r="C27" s="1">
        <v>4</v>
      </c>
    </row>
    <row r="28" spans="1:4" x14ac:dyDescent="0.3">
      <c r="A28" s="1">
        <v>27</v>
      </c>
      <c r="B28" s="1">
        <v>8</v>
      </c>
      <c r="C28" s="1">
        <v>4</v>
      </c>
    </row>
    <row r="29" spans="1:4" x14ac:dyDescent="0.3">
      <c r="A29" s="1">
        <v>28</v>
      </c>
      <c r="B29" s="1">
        <v>7</v>
      </c>
      <c r="C29" s="1">
        <v>4</v>
      </c>
    </row>
    <row r="30" spans="1:4" x14ac:dyDescent="0.3">
      <c r="A30" s="1">
        <v>29</v>
      </c>
      <c r="B30" s="1">
        <v>6</v>
      </c>
      <c r="C30" s="1">
        <v>5</v>
      </c>
    </row>
    <row r="31" spans="1:4" x14ac:dyDescent="0.3">
      <c r="A31" s="1">
        <v>30</v>
      </c>
      <c r="B31" s="1">
        <v>11</v>
      </c>
      <c r="C31" s="1">
        <v>6</v>
      </c>
      <c r="D31" s="2" t="s">
        <v>209</v>
      </c>
    </row>
    <row r="32" spans="1:4" x14ac:dyDescent="0.3">
      <c r="A32" s="1">
        <v>31</v>
      </c>
      <c r="B32" s="1">
        <v>7</v>
      </c>
      <c r="C32" s="1">
        <v>1</v>
      </c>
    </row>
    <row r="33" spans="1:4" x14ac:dyDescent="0.3">
      <c r="A33" s="1">
        <v>32</v>
      </c>
      <c r="B33" s="1">
        <v>8</v>
      </c>
      <c r="C33" s="1">
        <v>1</v>
      </c>
    </row>
    <row r="34" spans="1:4" x14ac:dyDescent="0.3">
      <c r="A34" s="1">
        <v>33</v>
      </c>
      <c r="B34" s="1">
        <v>9</v>
      </c>
      <c r="C34" s="1">
        <v>7</v>
      </c>
    </row>
    <row r="35" spans="1:4" x14ac:dyDescent="0.3">
      <c r="A35" s="1">
        <v>34</v>
      </c>
      <c r="B35" s="1">
        <v>3</v>
      </c>
      <c r="C35" s="1">
        <v>8</v>
      </c>
    </row>
    <row r="36" spans="1:4" x14ac:dyDescent="0.3">
      <c r="A36" s="1">
        <v>35</v>
      </c>
      <c r="B36" s="1">
        <v>10</v>
      </c>
      <c r="C36" s="1">
        <v>9</v>
      </c>
    </row>
    <row r="37" spans="1:4" x14ac:dyDescent="0.3">
      <c r="A37" s="1">
        <v>36</v>
      </c>
      <c r="B37" s="1">
        <v>9</v>
      </c>
      <c r="C37" s="1">
        <v>17</v>
      </c>
      <c r="D37" s="2" t="s">
        <v>210</v>
      </c>
    </row>
    <row r="38" spans="1:4" x14ac:dyDescent="0.3">
      <c r="A38" s="1">
        <v>37</v>
      </c>
      <c r="B38" s="1">
        <v>16</v>
      </c>
      <c r="C38" s="1">
        <v>19</v>
      </c>
    </row>
    <row r="39" spans="1:4" x14ac:dyDescent="0.3">
      <c r="A39" s="1">
        <v>38</v>
      </c>
      <c r="B39" s="1">
        <v>16</v>
      </c>
      <c r="C39" s="1">
        <v>20</v>
      </c>
    </row>
    <row r="40" spans="1:4" x14ac:dyDescent="0.3">
      <c r="A40" s="1">
        <v>39</v>
      </c>
      <c r="B40" s="1">
        <v>9</v>
      </c>
      <c r="C40" s="1">
        <v>13</v>
      </c>
    </row>
    <row r="41" spans="1:4" x14ac:dyDescent="0.3">
      <c r="A41" s="1">
        <v>40</v>
      </c>
      <c r="B41" s="1">
        <v>17</v>
      </c>
      <c r="C41" s="1">
        <v>5</v>
      </c>
    </row>
    <row r="42" spans="1:4" x14ac:dyDescent="0.3">
      <c r="A42" s="1">
        <v>41</v>
      </c>
      <c r="B42" s="1">
        <v>10</v>
      </c>
      <c r="C42" s="1">
        <v>6</v>
      </c>
    </row>
    <row r="43" spans="1:4" x14ac:dyDescent="0.3">
      <c r="A43" s="1">
        <v>42</v>
      </c>
      <c r="B43" s="1">
        <v>10</v>
      </c>
      <c r="C43" s="1">
        <v>20</v>
      </c>
    </row>
    <row r="44" spans="1:4" x14ac:dyDescent="0.3">
      <c r="A44" s="1">
        <v>43</v>
      </c>
      <c r="B44" s="1">
        <v>23</v>
      </c>
      <c r="C44" s="1">
        <v>19</v>
      </c>
    </row>
    <row r="45" spans="1:4" x14ac:dyDescent="0.3">
      <c r="A45" s="1">
        <v>44</v>
      </c>
      <c r="B45" s="1">
        <v>11</v>
      </c>
      <c r="C45" s="1">
        <v>20</v>
      </c>
    </row>
    <row r="46" spans="1:4" x14ac:dyDescent="0.3">
      <c r="A46" s="1">
        <v>45</v>
      </c>
      <c r="B46" s="1">
        <v>12</v>
      </c>
      <c r="C46" s="1">
        <v>2</v>
      </c>
    </row>
    <row r="47" spans="1:4" x14ac:dyDescent="0.3">
      <c r="A47" s="1">
        <v>46</v>
      </c>
      <c r="B47" s="1">
        <v>15</v>
      </c>
      <c r="C47" s="1">
        <v>1</v>
      </c>
    </row>
    <row r="48" spans="1:4" x14ac:dyDescent="0.3">
      <c r="A48" s="1">
        <v>47</v>
      </c>
      <c r="B48" s="1">
        <v>20</v>
      </c>
      <c r="C48" s="1">
        <v>4</v>
      </c>
    </row>
    <row r="49" spans="1:3" x14ac:dyDescent="0.3">
      <c r="A49" s="1">
        <v>48</v>
      </c>
      <c r="B49" s="1">
        <v>16</v>
      </c>
      <c r="C49" s="1">
        <v>17</v>
      </c>
    </row>
    <row r="50" spans="1:3" x14ac:dyDescent="0.3">
      <c r="A50" s="1">
        <v>49</v>
      </c>
      <c r="B50" s="1">
        <v>13</v>
      </c>
      <c r="C50" s="1">
        <v>11</v>
      </c>
    </row>
    <row r="51" spans="1:3" x14ac:dyDescent="0.3">
      <c r="A51" s="1">
        <v>50</v>
      </c>
      <c r="B51" s="1">
        <v>11</v>
      </c>
      <c r="C51" s="1">
        <v>9</v>
      </c>
    </row>
    <row r="52" spans="1:3" x14ac:dyDescent="0.3">
      <c r="A52" s="1">
        <v>51</v>
      </c>
      <c r="B52" s="1">
        <v>17</v>
      </c>
      <c r="C52" s="1">
        <v>17</v>
      </c>
    </row>
    <row r="53" spans="1:3" x14ac:dyDescent="0.3">
      <c r="A53" s="1">
        <v>52</v>
      </c>
      <c r="B53" s="1">
        <v>20</v>
      </c>
      <c r="C53" s="1">
        <v>19</v>
      </c>
    </row>
    <row r="54" spans="1:3" x14ac:dyDescent="0.3">
      <c r="A54" s="1">
        <v>53</v>
      </c>
      <c r="B54" s="1">
        <v>12</v>
      </c>
      <c r="C54" s="1">
        <v>20</v>
      </c>
    </row>
    <row r="55" spans="1:3" x14ac:dyDescent="0.3">
      <c r="A55" s="1">
        <v>54</v>
      </c>
      <c r="B55" s="1">
        <v>11</v>
      </c>
      <c r="C55" s="1">
        <v>13</v>
      </c>
    </row>
    <row r="56" spans="1:3" x14ac:dyDescent="0.3">
      <c r="A56" s="1">
        <v>55</v>
      </c>
      <c r="B56" s="1">
        <v>20</v>
      </c>
      <c r="C56" s="1">
        <v>1</v>
      </c>
    </row>
    <row r="57" spans="1:3" x14ac:dyDescent="0.3">
      <c r="A57" s="1">
        <v>56</v>
      </c>
      <c r="B57" s="1">
        <v>16</v>
      </c>
      <c r="C57" s="1">
        <v>11</v>
      </c>
    </row>
    <row r="58" spans="1:3" x14ac:dyDescent="0.3">
      <c r="A58" s="1">
        <v>57</v>
      </c>
      <c r="B58" s="1">
        <v>25</v>
      </c>
      <c r="C58" s="1">
        <v>1</v>
      </c>
    </row>
    <row r="59" spans="1:3" x14ac:dyDescent="0.3">
      <c r="A59" s="1">
        <v>58</v>
      </c>
      <c r="B59" s="1">
        <v>19</v>
      </c>
      <c r="C59" s="1">
        <v>9</v>
      </c>
    </row>
    <row r="60" spans="1:3" x14ac:dyDescent="0.3">
      <c r="A60" s="1">
        <v>59</v>
      </c>
      <c r="B60" s="1">
        <v>11</v>
      </c>
      <c r="C60" s="1">
        <v>17</v>
      </c>
    </row>
    <row r="61" spans="1:3" x14ac:dyDescent="0.3">
      <c r="A61" s="1">
        <v>60</v>
      </c>
      <c r="B61" s="1">
        <v>20</v>
      </c>
      <c r="C61" s="1">
        <v>17</v>
      </c>
    </row>
    <row r="62" spans="1:3" x14ac:dyDescent="0.3">
      <c r="A62" s="1"/>
      <c r="B62" s="1"/>
      <c r="C62" s="1"/>
    </row>
    <row r="63" spans="1:3" x14ac:dyDescent="0.3">
      <c r="A63" s="1"/>
      <c r="B63" s="1"/>
      <c r="C63" s="1"/>
    </row>
    <row r="64" spans="1:3" x14ac:dyDescent="0.3">
      <c r="A64" s="1"/>
      <c r="B64" s="1"/>
      <c r="C6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abSelected="1" zoomScale="70" zoomScaleNormal="70" workbookViewId="0">
      <selection activeCell="E47" sqref="E47"/>
    </sheetView>
  </sheetViews>
  <sheetFormatPr defaultRowHeight="16.5" x14ac:dyDescent="0.3"/>
  <cols>
    <col min="1" max="16384" width="9" style="6"/>
  </cols>
  <sheetData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V1:AB3"/>
  <sheetViews>
    <sheetView topLeftCell="C1" zoomScaleNormal="100" workbookViewId="0">
      <selection activeCell="I1" sqref="I1"/>
    </sheetView>
  </sheetViews>
  <sheetFormatPr defaultRowHeight="16.5" x14ac:dyDescent="0.3"/>
  <cols>
    <col min="1" max="22" width="9" style="6"/>
    <col min="23" max="23" width="10.625" style="6" bestFit="1" customWidth="1"/>
    <col min="24" max="25" width="9" style="6"/>
    <col min="26" max="28" width="6.25" style="6" bestFit="1" customWidth="1"/>
    <col min="29" max="16384" width="9" style="6"/>
  </cols>
  <sheetData>
    <row r="1" spans="22:28" ht="39" x14ac:dyDescent="0.3">
      <c r="V1" s="9" t="str">
        <f>X1 &amp; "/"&amp;X2</f>
        <v>1/7</v>
      </c>
      <c r="W1" s="6" t="s">
        <v>214</v>
      </c>
      <c r="X1" s="6">
        <v>1</v>
      </c>
      <c r="Z1" s="7" t="s">
        <v>215</v>
      </c>
      <c r="AA1" s="7" t="s">
        <v>216</v>
      </c>
      <c r="AB1" s="7" t="s">
        <v>217</v>
      </c>
    </row>
    <row r="2" spans="22:28" x14ac:dyDescent="0.3">
      <c r="W2" s="6" t="s">
        <v>218</v>
      </c>
      <c r="X2" s="6">
        <f>CEILING($X$3/3,1)</f>
        <v>7</v>
      </c>
      <c r="Z2" s="7">
        <f>IF(3*$X$1-2 &gt; X3, 0, 3*$X$1-2)</f>
        <v>1</v>
      </c>
      <c r="AA2" s="7">
        <f>IF(3*$X$1-1 &gt; X3, 0, 3*$X$1-1)</f>
        <v>2</v>
      </c>
      <c r="AB2" s="7">
        <f>IF(3*$X$1 &gt; X3, 0, 3*$X$1)</f>
        <v>3</v>
      </c>
    </row>
    <row r="3" spans="22:28" x14ac:dyDescent="0.3">
      <c r="W3" s="6" t="s">
        <v>219</v>
      </c>
      <c r="X3" s="6">
        <f>COUNTA(표7[번호])</f>
        <v>20</v>
      </c>
      <c r="Z3" s="8" t="str">
        <f>VLOOKUP(Z2,표7[],2,FALSE)</f>
        <v>우크라이나 어린이에게 당신이 필요합니다.</v>
      </c>
      <c r="AA3" s="8" t="str">
        <f>VLOOKUP(AA2,표7[],2,FALSE)</f>
        <v>지진으로 고통받는 아이티를 도와주세요</v>
      </c>
      <c r="AB3" s="8" t="str">
        <f>IFERROR(VLOOKUP(AB2,표7[],2,FALSE),"")</f>
        <v>날아라! 어린이의 꿈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B1:AJ3"/>
  <sheetViews>
    <sheetView zoomScale="70" zoomScaleNormal="70" workbookViewId="0">
      <selection activeCell="C34" sqref="C34"/>
    </sheetView>
  </sheetViews>
  <sheetFormatPr defaultRowHeight="16.5" x14ac:dyDescent="0.3"/>
  <cols>
    <col min="1" max="31" width="9" style="6"/>
    <col min="32" max="32" width="14" style="6" bestFit="1" customWidth="1"/>
    <col min="33" max="33" width="14.625" style="6" bestFit="1" customWidth="1"/>
    <col min="34" max="34" width="11.375" style="6" bestFit="1" customWidth="1"/>
    <col min="35" max="35" width="15.125" style="6" bestFit="1" customWidth="1"/>
    <col min="36" max="36" width="9" style="6" customWidth="1"/>
    <col min="37" max="16384" width="9" style="6"/>
  </cols>
  <sheetData>
    <row r="1" spans="28:36" x14ac:dyDescent="0.3">
      <c r="AB1" s="36"/>
      <c r="AD1" s="7" t="s">
        <v>289</v>
      </c>
      <c r="AF1" s="25" t="s">
        <v>284</v>
      </c>
      <c r="AG1" s="25" t="s">
        <v>285</v>
      </c>
      <c r="AH1" s="25" t="s">
        <v>286</v>
      </c>
      <c r="AI1" s="25" t="s">
        <v>287</v>
      </c>
      <c r="AJ1" s="25" t="s">
        <v>288</v>
      </c>
    </row>
    <row r="2" spans="28:36" x14ac:dyDescent="0.3">
      <c r="AB2" s="37"/>
      <c r="AD2" s="7" t="s">
        <v>290</v>
      </c>
      <c r="AF2" s="25" t="s">
        <v>291</v>
      </c>
      <c r="AG2" s="25" t="s">
        <v>292</v>
      </c>
      <c r="AH2" s="25" t="s">
        <v>293</v>
      </c>
      <c r="AI2" s="25" t="s">
        <v>294</v>
      </c>
      <c r="AJ2" s="25" t="s">
        <v>295</v>
      </c>
    </row>
    <row r="3" spans="28:36" ht="20.25" x14ac:dyDescent="0.3">
      <c r="AF3" s="34" t="s">
        <v>296</v>
      </c>
      <c r="AG3" s="34" t="s">
        <v>297</v>
      </c>
      <c r="AH3" s="34" t="s">
        <v>298</v>
      </c>
      <c r="AI3" s="34" t="s">
        <v>299</v>
      </c>
      <c r="AJ3" s="35" t="s">
        <v>300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1"/>
  <sheetViews>
    <sheetView workbookViewId="0">
      <selection activeCell="I34" sqref="I34"/>
    </sheetView>
  </sheetViews>
  <sheetFormatPr defaultRowHeight="16.5" x14ac:dyDescent="0.3"/>
  <cols>
    <col min="2" max="2" width="17.25" bestFit="1" customWidth="1"/>
    <col min="5" max="5" width="12.125" customWidth="1"/>
  </cols>
  <sheetData>
    <row r="1" spans="1:5" x14ac:dyDescent="0.3">
      <c r="A1" s="1" t="s">
        <v>0</v>
      </c>
      <c r="B1" s="1" t="s">
        <v>149</v>
      </c>
      <c r="C1" s="1" t="s">
        <v>150</v>
      </c>
      <c r="D1" s="1" t="s">
        <v>151</v>
      </c>
      <c r="E1" s="1" t="s">
        <v>152</v>
      </c>
    </row>
    <row r="2" spans="1:5" x14ac:dyDescent="0.3">
      <c r="A2" s="1" t="s">
        <v>153</v>
      </c>
      <c r="B2" s="1" t="s">
        <v>154</v>
      </c>
      <c r="C2" s="3">
        <v>30000</v>
      </c>
      <c r="D2" s="1">
        <v>28</v>
      </c>
      <c r="E2" s="5">
        <v>0.7</v>
      </c>
    </row>
    <row r="3" spans="1:5" x14ac:dyDescent="0.3">
      <c r="A3" s="1" t="s">
        <v>155</v>
      </c>
      <c r="B3" s="1" t="s">
        <v>156</v>
      </c>
      <c r="C3" s="3">
        <v>16000</v>
      </c>
      <c r="D3" s="1">
        <v>0</v>
      </c>
      <c r="E3" s="5">
        <v>0.85</v>
      </c>
    </row>
    <row r="4" spans="1:5" x14ac:dyDescent="0.3">
      <c r="A4" s="1" t="s">
        <v>157</v>
      </c>
      <c r="B4" s="1" t="s">
        <v>158</v>
      </c>
      <c r="C4" s="3">
        <v>22000</v>
      </c>
      <c r="D4" s="1">
        <v>3</v>
      </c>
      <c r="E4" s="5">
        <v>0.8</v>
      </c>
    </row>
    <row r="5" spans="1:5" x14ac:dyDescent="0.3">
      <c r="A5" s="1" t="s">
        <v>159</v>
      </c>
      <c r="B5" s="1" t="s">
        <v>160</v>
      </c>
      <c r="C5" s="3">
        <v>10000</v>
      </c>
      <c r="D5" s="1">
        <v>18</v>
      </c>
      <c r="E5" s="5">
        <v>0.7</v>
      </c>
    </row>
    <row r="6" spans="1:5" x14ac:dyDescent="0.3">
      <c r="A6" s="1" t="s">
        <v>161</v>
      </c>
      <c r="B6" s="1" t="s">
        <v>162</v>
      </c>
      <c r="C6" s="3">
        <v>24000</v>
      </c>
      <c r="D6" s="1">
        <v>30</v>
      </c>
      <c r="E6" s="5">
        <v>0.9</v>
      </c>
    </row>
    <row r="7" spans="1:5" x14ac:dyDescent="0.3">
      <c r="A7" s="1" t="s">
        <v>163</v>
      </c>
      <c r="B7" s="1" t="s">
        <v>164</v>
      </c>
      <c r="C7" s="3">
        <v>12000</v>
      </c>
      <c r="D7" s="1">
        <v>22</v>
      </c>
      <c r="E7" s="5">
        <v>0.75</v>
      </c>
    </row>
    <row r="8" spans="1:5" x14ac:dyDescent="0.3">
      <c r="A8" s="1" t="s">
        <v>165</v>
      </c>
      <c r="B8" s="1" t="s">
        <v>166</v>
      </c>
      <c r="C8" s="3">
        <v>25000</v>
      </c>
      <c r="D8" s="1">
        <v>12</v>
      </c>
      <c r="E8" s="5">
        <v>0.85</v>
      </c>
    </row>
    <row r="9" spans="1:5" x14ac:dyDescent="0.3">
      <c r="A9" s="1" t="s">
        <v>167</v>
      </c>
      <c r="B9" s="1" t="s">
        <v>168</v>
      </c>
      <c r="C9" s="3">
        <v>29000</v>
      </c>
      <c r="D9" s="1">
        <v>5</v>
      </c>
      <c r="E9" s="5">
        <v>0.7</v>
      </c>
    </row>
    <row r="10" spans="1:5" x14ac:dyDescent="0.3">
      <c r="A10" s="1" t="s">
        <v>169</v>
      </c>
      <c r="B10" s="1" t="s">
        <v>170</v>
      </c>
      <c r="C10" s="3">
        <v>50000</v>
      </c>
      <c r="D10" s="1">
        <v>2</v>
      </c>
      <c r="E10" s="5">
        <v>0.9</v>
      </c>
    </row>
    <row r="11" spans="1:5" x14ac:dyDescent="0.3">
      <c r="A11" s="1" t="s">
        <v>171</v>
      </c>
      <c r="B11" s="1" t="s">
        <v>172</v>
      </c>
      <c r="C11" s="3">
        <v>60000</v>
      </c>
      <c r="D11" s="1">
        <v>3</v>
      </c>
      <c r="E11" s="5">
        <v>0.9</v>
      </c>
    </row>
    <row r="12" spans="1:5" x14ac:dyDescent="0.3">
      <c r="A12" s="1" t="s">
        <v>173</v>
      </c>
      <c r="B12" s="1" t="s">
        <v>174</v>
      </c>
      <c r="C12" s="3">
        <v>20000</v>
      </c>
      <c r="D12" s="1">
        <v>4</v>
      </c>
      <c r="E12" s="5">
        <v>0.75</v>
      </c>
    </row>
    <row r="13" spans="1:5" x14ac:dyDescent="0.3">
      <c r="A13" s="1" t="s">
        <v>175</v>
      </c>
      <c r="B13" s="1" t="s">
        <v>176</v>
      </c>
      <c r="C13" s="3">
        <v>12000</v>
      </c>
      <c r="D13" s="1">
        <v>11</v>
      </c>
      <c r="E13" s="5">
        <v>0.8</v>
      </c>
    </row>
    <row r="14" spans="1:5" x14ac:dyDescent="0.3">
      <c r="A14" s="1" t="s">
        <v>177</v>
      </c>
      <c r="B14" s="1" t="s">
        <v>178</v>
      </c>
      <c r="C14" s="3">
        <v>18000</v>
      </c>
      <c r="D14" s="1">
        <v>2</v>
      </c>
      <c r="E14" s="5">
        <v>0.7</v>
      </c>
    </row>
    <row r="15" spans="1:5" x14ac:dyDescent="0.3">
      <c r="A15" s="1" t="s">
        <v>179</v>
      </c>
      <c r="B15" s="1" t="s">
        <v>180</v>
      </c>
      <c r="C15" s="3">
        <v>19000</v>
      </c>
      <c r="D15" s="1">
        <v>19</v>
      </c>
      <c r="E15" s="5">
        <v>0.95</v>
      </c>
    </row>
    <row r="16" spans="1:5" x14ac:dyDescent="0.3">
      <c r="A16" s="1" t="s">
        <v>181</v>
      </c>
      <c r="B16" s="1" t="s">
        <v>182</v>
      </c>
      <c r="C16" s="3">
        <v>22000</v>
      </c>
      <c r="D16" s="1">
        <v>21</v>
      </c>
      <c r="E16" s="5">
        <v>0.95</v>
      </c>
    </row>
    <row r="17" spans="1:5" x14ac:dyDescent="0.3">
      <c r="A17" s="1" t="s">
        <v>183</v>
      </c>
      <c r="B17" s="1" t="s">
        <v>184</v>
      </c>
      <c r="C17" s="3">
        <v>43000</v>
      </c>
      <c r="D17" s="1">
        <v>3</v>
      </c>
      <c r="E17" s="5">
        <v>0.9</v>
      </c>
    </row>
    <row r="18" spans="1:5" x14ac:dyDescent="0.3">
      <c r="A18" s="1" t="s">
        <v>185</v>
      </c>
      <c r="B18" s="1" t="s">
        <v>186</v>
      </c>
      <c r="C18" s="3">
        <v>24000</v>
      </c>
      <c r="D18" s="1">
        <v>8</v>
      </c>
      <c r="E18" s="5">
        <v>0.85</v>
      </c>
    </row>
    <row r="19" spans="1:5" x14ac:dyDescent="0.3">
      <c r="A19" s="1" t="s">
        <v>187</v>
      </c>
      <c r="B19" s="1" t="s">
        <v>188</v>
      </c>
      <c r="C19" s="3">
        <v>33000</v>
      </c>
      <c r="D19" s="1">
        <v>4</v>
      </c>
      <c r="E19" s="5">
        <v>0.75</v>
      </c>
    </row>
    <row r="20" spans="1:5" x14ac:dyDescent="0.3">
      <c r="A20" s="1" t="s">
        <v>189</v>
      </c>
      <c r="B20" s="1" t="s">
        <v>190</v>
      </c>
      <c r="C20" s="3">
        <v>5000</v>
      </c>
      <c r="D20" s="1">
        <v>13</v>
      </c>
      <c r="E20" s="5">
        <v>0.8</v>
      </c>
    </row>
    <row r="21" spans="1:5" x14ac:dyDescent="0.3">
      <c r="A21" s="1" t="s">
        <v>191</v>
      </c>
      <c r="B21" s="1" t="s">
        <v>192</v>
      </c>
      <c r="C21" s="3">
        <v>63000</v>
      </c>
      <c r="D21" s="1">
        <v>9</v>
      </c>
      <c r="E21" s="5">
        <v>0.85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609BDA6-3900-4216-900F-794C68B489E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1"/>
              <x14:cfIcon iconSet="NoIcons" iconId="0"/>
            </x14:iconSet>
          </x14:cfRule>
          <xm:sqref>D1:D1048576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25"/>
  <sheetViews>
    <sheetView zoomScale="70" zoomScaleNormal="70" workbookViewId="0">
      <selection activeCell="X16" sqref="X16"/>
    </sheetView>
  </sheetViews>
  <sheetFormatPr defaultRowHeight="16.5" x14ac:dyDescent="0.3"/>
  <cols>
    <col min="1" max="2" width="9.875" bestFit="1" customWidth="1"/>
    <col min="3" max="3" width="8.125" bestFit="1" customWidth="1"/>
    <col min="4" max="4" width="10.625" bestFit="1" customWidth="1"/>
    <col min="5" max="5" width="7.5" bestFit="1" customWidth="1"/>
    <col min="6" max="6" width="17.625" bestFit="1" customWidth="1"/>
    <col min="7" max="7" width="14.375" bestFit="1" customWidth="1"/>
    <col min="8" max="8" width="7.5" bestFit="1" customWidth="1"/>
    <col min="9" max="9" width="2.5" bestFit="1" customWidth="1"/>
    <col min="13" max="13" width="22.75" bestFit="1" customWidth="1"/>
    <col min="17" max="17" width="11" bestFit="1" customWidth="1"/>
    <col min="18" max="18" width="13.75" bestFit="1" customWidth="1"/>
    <col min="20" max="20" width="17.25" bestFit="1" customWidth="1"/>
    <col min="21" max="21" width="28.75" bestFit="1" customWidth="1"/>
    <col min="24" max="24" width="18.75" bestFit="1" customWidth="1"/>
  </cols>
  <sheetData>
    <row r="1" spans="1:26" ht="41.25" x14ac:dyDescent="0.3">
      <c r="A1" s="20"/>
      <c r="B1" s="20" t="e">
        <f>VLOOKUP(회원,표1[],COLUMN(),FALSE)</f>
        <v>#N/A</v>
      </c>
      <c r="C1" s="20" t="e">
        <f>VLOOKUP(회원,표1[],COLUMN(),FALSE)</f>
        <v>#N/A</v>
      </c>
      <c r="D1" s="20" t="e">
        <f>VLOOKUP(회원,표1[],COLUMN(),FALSE)</f>
        <v>#N/A</v>
      </c>
      <c r="E1" s="20" t="e">
        <f>VLOOKUP(회원,표1[],COLUMN(),FALSE)</f>
        <v>#N/A</v>
      </c>
      <c r="F1" s="20" t="e">
        <f>VLOOKUP(회원,표1[],COLUMN(),FALSE)</f>
        <v>#N/A</v>
      </c>
      <c r="G1" s="20" t="e">
        <f>VLOOKUP(회원,표1[],COLUMN(),FALSE)</f>
        <v>#N/A</v>
      </c>
      <c r="H1" s="20" t="e">
        <f>VLOOKUP(회원,표1[],COLUMN(),FALSE)</f>
        <v>#N/A</v>
      </c>
      <c r="I1" s="20" t="e">
        <f>VLOOKUP(회원,표1[],COLUMN(),FALSE)</f>
        <v>#N/A</v>
      </c>
      <c r="M1" s="33" t="e">
        <f>"안녕하세요 " &amp;B1 &amp; "님"</f>
        <v>#N/A</v>
      </c>
    </row>
    <row r="2" spans="1:26" ht="41.25" x14ac:dyDescent="0.3">
      <c r="A2" t="s">
        <v>302</v>
      </c>
      <c r="B2" t="s">
        <v>301</v>
      </c>
      <c r="M2" s="33" t="e">
        <f>"총 " &amp; TEXT(H1, "#,##0") &amp; "원을 후원하셨습니다."</f>
        <v>#N/A</v>
      </c>
    </row>
    <row r="3" spans="1:26" x14ac:dyDescent="0.3">
      <c r="A3" s="38">
        <f>SUMIF(표4[회원번호],회원,표4[합계])</f>
        <v>0</v>
      </c>
      <c r="B3" s="38">
        <f>SUMIF(표3[회원번호],회원,표3[금액])</f>
        <v>0</v>
      </c>
    </row>
    <row r="5" spans="1:26" x14ac:dyDescent="0.3">
      <c r="M5" s="19" t="s">
        <v>272</v>
      </c>
      <c r="Q5" s="1"/>
      <c r="R5" s="19" t="s">
        <v>277</v>
      </c>
      <c r="W5" s="40" t="s">
        <v>303</v>
      </c>
      <c r="Z5" s="40" t="s">
        <v>306</v>
      </c>
    </row>
    <row r="6" spans="1:26" x14ac:dyDescent="0.3">
      <c r="M6" s="1" t="s">
        <v>273</v>
      </c>
      <c r="N6" s="1" t="s">
        <v>274</v>
      </c>
      <c r="Q6" s="44" t="s">
        <v>278</v>
      </c>
      <c r="R6" s="1" t="s">
        <v>282</v>
      </c>
      <c r="V6" s="44" t="s">
        <v>304</v>
      </c>
      <c r="W6">
        <v>1</v>
      </c>
      <c r="Y6" s="46" t="s">
        <v>304</v>
      </c>
      <c r="Z6">
        <v>4</v>
      </c>
    </row>
    <row r="7" spans="1:26" x14ac:dyDescent="0.3">
      <c r="M7" s="11" t="b">
        <v>1</v>
      </c>
      <c r="N7" s="11">
        <v>3</v>
      </c>
      <c r="Q7" s="44" t="s">
        <v>279</v>
      </c>
      <c r="R7" s="4">
        <v>44795</v>
      </c>
      <c r="V7" s="46" t="s">
        <v>305</v>
      </c>
      <c r="W7" t="str">
        <f>VLOOKUP(W6,표7[],2,FALSE)</f>
        <v>우크라이나 어린이에게 당신이 필요합니다.</v>
      </c>
      <c r="Y7" s="46" t="s">
        <v>305</v>
      </c>
      <c r="Z7" t="str">
        <f>VLOOKUP(자료처리!Z6,표7[],2,FALSE)</f>
        <v>만원의 기적</v>
      </c>
    </row>
    <row r="8" spans="1:26" x14ac:dyDescent="0.3">
      <c r="Q8" s="44" t="s">
        <v>280</v>
      </c>
      <c r="R8" s="21">
        <v>25000</v>
      </c>
      <c r="T8" s="1"/>
      <c r="Y8" s="46" t="s">
        <v>307</v>
      </c>
      <c r="Z8" t="str">
        <f>VLOOKUP(자료처리!Z6,표7[],3,FALSE)</f>
        <v>장애어린이에게 기적을 선물해 주세요.</v>
      </c>
    </row>
    <row r="9" spans="1:26" x14ac:dyDescent="0.3">
      <c r="Q9" s="44" t="s">
        <v>281</v>
      </c>
      <c r="R9" s="22" t="s">
        <v>283</v>
      </c>
      <c r="T9" s="1"/>
      <c r="Y9" s="46" t="s">
        <v>308</v>
      </c>
      <c r="Z9">
        <f>SUMIF(표3[후원번호],자료처리!Z6,표3[금액])</f>
        <v>895000</v>
      </c>
    </row>
    <row r="10" spans="1:26" x14ac:dyDescent="0.3">
      <c r="Y10" s="46" t="s">
        <v>309</v>
      </c>
      <c r="Z10">
        <f>COUNTIF(표3[회원번호],자료처리!Z6)</f>
        <v>7</v>
      </c>
    </row>
    <row r="14" spans="1:26" x14ac:dyDescent="0.3">
      <c r="Q14" s="41"/>
    </row>
    <row r="15" spans="1:26" x14ac:dyDescent="0.3">
      <c r="M15" s="20" t="s">
        <v>310</v>
      </c>
      <c r="N15" s="19" t="s">
        <v>311</v>
      </c>
      <c r="P15" s="41"/>
      <c r="Q15" s="42"/>
      <c r="R15" s="20" t="s">
        <v>301</v>
      </c>
      <c r="U15" s="20" t="s">
        <v>314</v>
      </c>
      <c r="X15" s="49" t="s">
        <v>321</v>
      </c>
    </row>
    <row r="16" spans="1:26" x14ac:dyDescent="0.3">
      <c r="M16" s="11">
        <v>2</v>
      </c>
      <c r="N16" s="11">
        <f t="shared" ref="N16:N24" ca="1" si="0">RAND()</f>
        <v>0.63830103101449687</v>
      </c>
      <c r="Q16" s="43" t="s">
        <v>312</v>
      </c>
      <c r="R16" s="11" t="s">
        <v>320</v>
      </c>
      <c r="T16" s="43" t="s">
        <v>319</v>
      </c>
      <c r="U16" s="11">
        <v>3</v>
      </c>
      <c r="W16" s="48" t="s">
        <v>319</v>
      </c>
      <c r="X16" s="45">
        <v>13</v>
      </c>
    </row>
    <row r="17" spans="13:24" x14ac:dyDescent="0.3">
      <c r="M17" s="11">
        <v>8</v>
      </c>
      <c r="N17" s="11">
        <f t="shared" ca="1" si="0"/>
        <v>0.67090882644929462</v>
      </c>
      <c r="Q17" s="10" t="s">
        <v>149</v>
      </c>
      <c r="R17" s="11" t="str">
        <f>VLOOKUP($R$16,표2[],2,FALSE)</f>
        <v>love 반팔티</v>
      </c>
      <c r="T17" s="43" t="s">
        <v>315</v>
      </c>
      <c r="U17" s="11" t="str">
        <f>VLOOKUP(U16,봉사활동!$A$2:$E$1048576,2,FALSE)</f>
        <v>독거 어르신 도시락 만들기</v>
      </c>
      <c r="W17" s="48" t="s">
        <v>315</v>
      </c>
      <c r="X17" s="45" t="s">
        <v>245</v>
      </c>
    </row>
    <row r="18" spans="13:24" x14ac:dyDescent="0.3">
      <c r="M18" s="11">
        <v>0</v>
      </c>
      <c r="N18" s="11">
        <f t="shared" ca="1" si="0"/>
        <v>0.36370030872295211</v>
      </c>
      <c r="Q18" s="10" t="s">
        <v>150</v>
      </c>
      <c r="R18" s="11">
        <f>VLOOKUP($R$16,표2[],3,FALSE)</f>
        <v>16000</v>
      </c>
      <c r="T18" s="43" t="s">
        <v>316</v>
      </c>
      <c r="U18" s="11" t="str">
        <f>VLOOKUP(U16,봉사활동!$A$2:$E$1048576,3,FALSE)</f>
        <v>다봄</v>
      </c>
      <c r="W18" s="48" t="s">
        <v>316</v>
      </c>
      <c r="X18" s="45" t="s">
        <v>246</v>
      </c>
    </row>
    <row r="19" spans="13:24" x14ac:dyDescent="0.3">
      <c r="M19" s="11">
        <v>5</v>
      </c>
      <c r="N19" s="11">
        <f t="shared" ca="1" si="0"/>
        <v>0.9858742945463902</v>
      </c>
      <c r="Q19" s="10" t="s">
        <v>151</v>
      </c>
      <c r="R19" s="11">
        <f>VLOOKUP($R$16,표2[],4,FALSE)</f>
        <v>0</v>
      </c>
      <c r="T19" s="43" t="s">
        <v>317</v>
      </c>
      <c r="U19" s="47">
        <f>VLOOKUP(U16,봉사활동!$A$2:$E$1048576,4,FALSE)</f>
        <v>44796</v>
      </c>
      <c r="W19" s="48" t="s">
        <v>317</v>
      </c>
      <c r="X19" s="50"/>
    </row>
    <row r="20" spans="13:24" x14ac:dyDescent="0.3">
      <c r="M20" s="11">
        <v>6</v>
      </c>
      <c r="N20" s="11">
        <f t="shared" ca="1" si="0"/>
        <v>0.6167179115405873</v>
      </c>
      <c r="Q20" s="10" t="s">
        <v>152</v>
      </c>
      <c r="R20" s="11">
        <f>VLOOKUP($R$16,표2[],5,FALSE)</f>
        <v>0.85</v>
      </c>
      <c r="T20" s="43" t="s">
        <v>318</v>
      </c>
      <c r="U20" s="11">
        <f>VLOOKUP(U16,봉사활동!$A$2:$E$1048576,5,FALSE)</f>
        <v>30</v>
      </c>
      <c r="W20" s="48" t="s">
        <v>318</v>
      </c>
      <c r="X20" s="45">
        <v>3</v>
      </c>
    </row>
    <row r="21" spans="13:24" x14ac:dyDescent="0.3">
      <c r="M21" s="11">
        <v>3</v>
      </c>
      <c r="N21" s="11">
        <f t="shared" ca="1" si="0"/>
        <v>0.5580289040929437</v>
      </c>
    </row>
    <row r="22" spans="13:24" x14ac:dyDescent="0.3">
      <c r="M22" s="11">
        <v>4</v>
      </c>
      <c r="N22" s="11">
        <f t="shared" ca="1" si="0"/>
        <v>0.42725388468937564</v>
      </c>
    </row>
    <row r="23" spans="13:24" x14ac:dyDescent="0.3">
      <c r="M23" s="11">
        <v>1</v>
      </c>
      <c r="N23" s="11">
        <f t="shared" ca="1" si="0"/>
        <v>9.5021366271272445E-2</v>
      </c>
    </row>
    <row r="24" spans="13:24" x14ac:dyDescent="0.3">
      <c r="M24" s="11">
        <v>7</v>
      </c>
      <c r="N24" s="11">
        <f t="shared" ca="1" si="0"/>
        <v>0.17478509532756348</v>
      </c>
    </row>
    <row r="25" spans="13:24" x14ac:dyDescent="0.3">
      <c r="M25" s="11">
        <v>9</v>
      </c>
      <c r="N25" s="11">
        <f t="shared" ref="N25" ca="1" si="1">RAND()</f>
        <v>0.14691595276925551</v>
      </c>
    </row>
  </sheetData>
  <sortState ref="M16:N24">
    <sortCondition ref="N16:N25"/>
  </sortState>
  <phoneticPr fontId="1" type="noConversion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1C234E1-A3EC-4C15-BE73-46C2C1D26166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3Symbols2" iconId="1"/>
              <x14:cfIcon iconSet="NoIcons" iconId="0"/>
            </x14:iconSet>
          </x14:cfRule>
          <xm:sqref>Q19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27"/>
  <sheetViews>
    <sheetView workbookViewId="0">
      <selection activeCell="J21" sqref="J21"/>
    </sheetView>
  </sheetViews>
  <sheetFormatPr defaultRowHeight="16.5" x14ac:dyDescent="0.3"/>
  <cols>
    <col min="1" max="1" width="5.25" style="7" bestFit="1" customWidth="1"/>
    <col min="2" max="2" width="29.625" style="7" bestFit="1" customWidth="1"/>
    <col min="3" max="3" width="33.875" style="7" bestFit="1" customWidth="1"/>
    <col min="4" max="4" width="11.125" style="7" bestFit="1" customWidth="1"/>
    <col min="5" max="5" width="9" style="7" bestFit="1" customWidth="1"/>
    <col min="6" max="8" width="9" style="6"/>
    <col min="9" max="9" width="11.125" style="6" bestFit="1" customWidth="1"/>
    <col min="10" max="16384" width="9" style="6"/>
  </cols>
  <sheetData>
    <row r="1" spans="1:15" x14ac:dyDescent="0.3">
      <c r="A1" s="31" t="s">
        <v>0</v>
      </c>
      <c r="B1" s="31" t="s">
        <v>107</v>
      </c>
      <c r="C1" s="31" t="s">
        <v>220</v>
      </c>
      <c r="D1" s="31" t="s">
        <v>196</v>
      </c>
      <c r="E1" s="32" t="s">
        <v>221</v>
      </c>
      <c r="I1" s="25" t="s">
        <v>196</v>
      </c>
      <c r="K1" s="31" t="s">
        <v>0</v>
      </c>
      <c r="L1" s="31" t="s">
        <v>107</v>
      </c>
      <c r="M1" s="31" t="s">
        <v>220</v>
      </c>
      <c r="N1" s="31" t="s">
        <v>196</v>
      </c>
      <c r="O1" s="32" t="s">
        <v>221</v>
      </c>
    </row>
    <row r="2" spans="1:15" x14ac:dyDescent="0.3">
      <c r="A2" s="23">
        <v>1</v>
      </c>
      <c r="B2" s="23" t="s">
        <v>222</v>
      </c>
      <c r="C2" s="23" t="s">
        <v>223</v>
      </c>
      <c r="D2" s="26">
        <v>44795</v>
      </c>
      <c r="E2" s="24">
        <v>1</v>
      </c>
      <c r="I2" s="27">
        <v>44814</v>
      </c>
      <c r="K2"/>
      <c r="L2"/>
      <c r="M2"/>
      <c r="N2"/>
      <c r="O2"/>
    </row>
    <row r="3" spans="1:15" x14ac:dyDescent="0.3">
      <c r="A3" s="23">
        <v>2</v>
      </c>
      <c r="B3" s="23" t="s">
        <v>224</v>
      </c>
      <c r="C3" s="23" t="s">
        <v>225</v>
      </c>
      <c r="D3" s="26">
        <v>44796</v>
      </c>
      <c r="E3" s="24">
        <v>2</v>
      </c>
      <c r="K3"/>
      <c r="L3"/>
      <c r="M3"/>
      <c r="N3"/>
      <c r="O3"/>
    </row>
    <row r="4" spans="1:15" x14ac:dyDescent="0.3">
      <c r="A4" s="23">
        <v>3</v>
      </c>
      <c r="B4" s="23" t="s">
        <v>226</v>
      </c>
      <c r="C4" s="23" t="s">
        <v>227</v>
      </c>
      <c r="D4" s="26">
        <v>44796</v>
      </c>
      <c r="E4" s="24">
        <v>30</v>
      </c>
      <c r="K4"/>
      <c r="L4"/>
      <c r="M4"/>
      <c r="N4"/>
      <c r="O4"/>
    </row>
    <row r="5" spans="1:15" x14ac:dyDescent="0.3">
      <c r="A5" s="23">
        <v>4</v>
      </c>
      <c r="B5" s="23" t="s">
        <v>228</v>
      </c>
      <c r="C5" s="23" t="s">
        <v>229</v>
      </c>
      <c r="D5" s="26">
        <v>44797</v>
      </c>
      <c r="E5" s="24">
        <v>4</v>
      </c>
    </row>
    <row r="6" spans="1:15" x14ac:dyDescent="0.3">
      <c r="A6" s="23">
        <v>5</v>
      </c>
      <c r="B6" s="23" t="s">
        <v>230</v>
      </c>
      <c r="C6" s="23" t="s">
        <v>231</v>
      </c>
      <c r="D6" s="26">
        <v>44798</v>
      </c>
      <c r="E6" s="24">
        <v>13</v>
      </c>
    </row>
    <row r="7" spans="1:15" x14ac:dyDescent="0.3">
      <c r="A7" s="23">
        <v>6</v>
      </c>
      <c r="B7" s="23" t="s">
        <v>232</v>
      </c>
      <c r="C7" s="23" t="s">
        <v>233</v>
      </c>
      <c r="D7" s="26">
        <v>44799</v>
      </c>
      <c r="E7" s="24">
        <v>10</v>
      </c>
    </row>
    <row r="8" spans="1:15" x14ac:dyDescent="0.3">
      <c r="A8" s="23">
        <v>7</v>
      </c>
      <c r="B8" s="23" t="s">
        <v>234</v>
      </c>
      <c r="C8" s="23" t="s">
        <v>235</v>
      </c>
      <c r="D8" s="26">
        <v>44800</v>
      </c>
      <c r="E8" s="24">
        <v>12</v>
      </c>
    </row>
    <row r="9" spans="1:15" x14ac:dyDescent="0.3">
      <c r="A9" s="23">
        <v>8</v>
      </c>
      <c r="B9" s="23" t="s">
        <v>236</v>
      </c>
      <c r="C9" s="23" t="s">
        <v>231</v>
      </c>
      <c r="D9" s="26">
        <v>44801</v>
      </c>
      <c r="E9" s="24">
        <v>3</v>
      </c>
    </row>
    <row r="10" spans="1:15" x14ac:dyDescent="0.3">
      <c r="A10" s="23">
        <v>9</v>
      </c>
      <c r="B10" s="23" t="s">
        <v>237</v>
      </c>
      <c r="C10" s="23" t="s">
        <v>238</v>
      </c>
      <c r="D10" s="26">
        <v>44802</v>
      </c>
      <c r="E10" s="24">
        <v>5</v>
      </c>
    </row>
    <row r="11" spans="1:15" x14ac:dyDescent="0.3">
      <c r="A11" s="23">
        <v>10</v>
      </c>
      <c r="B11" s="23" t="s">
        <v>239</v>
      </c>
      <c r="C11" s="23" t="s">
        <v>240</v>
      </c>
      <c r="D11" s="26">
        <v>44802</v>
      </c>
      <c r="E11" s="24">
        <v>40</v>
      </c>
    </row>
    <row r="12" spans="1:15" x14ac:dyDescent="0.3">
      <c r="A12" s="23">
        <v>11</v>
      </c>
      <c r="B12" s="23" t="s">
        <v>241</v>
      </c>
      <c r="C12" s="23" t="s">
        <v>242</v>
      </c>
      <c r="D12" s="26">
        <v>44803</v>
      </c>
      <c r="E12" s="24">
        <v>7</v>
      </c>
    </row>
    <row r="13" spans="1:15" x14ac:dyDescent="0.3">
      <c r="A13" s="23">
        <v>12</v>
      </c>
      <c r="B13" s="23" t="s">
        <v>243</v>
      </c>
      <c r="C13" s="23" t="s">
        <v>244</v>
      </c>
      <c r="D13" s="26">
        <v>44803</v>
      </c>
      <c r="E13" s="24">
        <v>25</v>
      </c>
    </row>
    <row r="14" spans="1:15" x14ac:dyDescent="0.3">
      <c r="A14" s="23">
        <v>13</v>
      </c>
      <c r="B14" s="23" t="s">
        <v>245</v>
      </c>
      <c r="C14" s="23" t="s">
        <v>246</v>
      </c>
      <c r="D14" s="26">
        <v>44804</v>
      </c>
      <c r="E14" s="24">
        <v>3</v>
      </c>
    </row>
    <row r="15" spans="1:15" x14ac:dyDescent="0.3">
      <c r="A15" s="23">
        <v>14</v>
      </c>
      <c r="B15" s="23" t="s">
        <v>247</v>
      </c>
      <c r="C15" s="23" t="s">
        <v>248</v>
      </c>
      <c r="D15" s="26">
        <v>44804</v>
      </c>
      <c r="E15" s="24">
        <v>5</v>
      </c>
    </row>
    <row r="16" spans="1:15" x14ac:dyDescent="0.3">
      <c r="A16" s="23">
        <v>15</v>
      </c>
      <c r="B16" s="23" t="s">
        <v>249</v>
      </c>
      <c r="C16" s="23" t="s">
        <v>250</v>
      </c>
      <c r="D16" s="26">
        <v>44805</v>
      </c>
      <c r="E16" s="24">
        <v>1</v>
      </c>
    </row>
    <row r="17" spans="1:11" x14ac:dyDescent="0.3">
      <c r="A17" s="23">
        <v>16</v>
      </c>
      <c r="B17" s="23" t="s">
        <v>251</v>
      </c>
      <c r="C17" s="23" t="s">
        <v>252</v>
      </c>
      <c r="D17" s="26">
        <v>44805</v>
      </c>
      <c r="E17" s="24">
        <v>15</v>
      </c>
    </row>
    <row r="18" spans="1:11" x14ac:dyDescent="0.3">
      <c r="A18" s="23">
        <v>17</v>
      </c>
      <c r="B18" s="23" t="s">
        <v>253</v>
      </c>
      <c r="C18" s="23" t="s">
        <v>254</v>
      </c>
      <c r="D18" s="26">
        <v>44806</v>
      </c>
      <c r="E18" s="24">
        <v>9</v>
      </c>
    </row>
    <row r="19" spans="1:11" x14ac:dyDescent="0.3">
      <c r="A19" s="23">
        <v>18</v>
      </c>
      <c r="B19" s="23" t="s">
        <v>255</v>
      </c>
      <c r="C19" s="23" t="s">
        <v>256</v>
      </c>
      <c r="D19" s="26">
        <v>44807</v>
      </c>
      <c r="E19" s="24">
        <v>1</v>
      </c>
    </row>
    <row r="20" spans="1:11" x14ac:dyDescent="0.3">
      <c r="A20" s="23">
        <v>19</v>
      </c>
      <c r="B20" s="23" t="s">
        <v>257</v>
      </c>
      <c r="C20" s="23" t="s">
        <v>258</v>
      </c>
      <c r="D20" s="26">
        <v>44808</v>
      </c>
      <c r="E20" s="24">
        <v>4</v>
      </c>
    </row>
    <row r="21" spans="1:11" x14ac:dyDescent="0.3">
      <c r="A21" s="23">
        <v>20</v>
      </c>
      <c r="B21" s="23" t="s">
        <v>259</v>
      </c>
      <c r="C21" s="23" t="s">
        <v>260</v>
      </c>
      <c r="D21" s="26">
        <v>44808</v>
      </c>
      <c r="E21" s="24">
        <v>22</v>
      </c>
      <c r="K21" s="28"/>
    </row>
    <row r="22" spans="1:11" x14ac:dyDescent="0.3">
      <c r="A22" s="23">
        <v>21</v>
      </c>
      <c r="B22" s="23" t="s">
        <v>261</v>
      </c>
      <c r="C22" s="23" t="s">
        <v>262</v>
      </c>
      <c r="D22" s="26">
        <v>44808</v>
      </c>
      <c r="E22" s="24">
        <v>2</v>
      </c>
    </row>
    <row r="23" spans="1:11" x14ac:dyDescent="0.3">
      <c r="A23" s="23">
        <v>22</v>
      </c>
      <c r="B23" s="23" t="s">
        <v>263</v>
      </c>
      <c r="C23" s="23" t="s">
        <v>264</v>
      </c>
      <c r="D23" s="26">
        <v>44809</v>
      </c>
      <c r="E23" s="24">
        <v>3</v>
      </c>
    </row>
    <row r="24" spans="1:11" x14ac:dyDescent="0.3">
      <c r="A24" s="23">
        <v>23</v>
      </c>
      <c r="B24" s="23" t="s">
        <v>265</v>
      </c>
      <c r="C24" s="23" t="s">
        <v>266</v>
      </c>
      <c r="D24" s="26">
        <v>44809</v>
      </c>
      <c r="E24" s="24">
        <v>3</v>
      </c>
    </row>
    <row r="25" spans="1:11" x14ac:dyDescent="0.3">
      <c r="A25" s="23">
        <v>24</v>
      </c>
      <c r="B25" s="23" t="s">
        <v>267</v>
      </c>
      <c r="C25" s="23" t="s">
        <v>268</v>
      </c>
      <c r="D25" s="26">
        <v>44810</v>
      </c>
      <c r="E25" s="24">
        <v>1</v>
      </c>
    </row>
    <row r="26" spans="1:11" x14ac:dyDescent="0.3">
      <c r="A26" s="29">
        <v>25</v>
      </c>
      <c r="B26" s="29" t="s">
        <v>269</v>
      </c>
      <c r="C26" s="29" t="s">
        <v>270</v>
      </c>
      <c r="D26" s="30">
        <v>44810</v>
      </c>
      <c r="E26" s="25">
        <v>18</v>
      </c>
    </row>
    <row r="27" spans="1:11" x14ac:dyDescent="0.3">
      <c r="D27" s="51"/>
    </row>
  </sheetData>
  <phoneticPr fontId="1" type="noConversion"/>
  <conditionalFormatting sqref="A2:E1048576">
    <cfRule type="expression" dxfId="0" priority="1">
      <formula>$A2</formula>
    </cfRule>
  </conditionalFormatting>
  <dataValidations count="1">
    <dataValidation type="whole" allowBlank="1" showInputMessage="1" showErrorMessage="1" errorTitle="모집인원 형식 오류" error="모집인원 1~100 사이의 정수 값만 입력되도록 하시오." sqref="E2:E1048576">
      <formula1>1</formula1>
      <formula2>100</formula2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115" zoomScaleNormal="115" workbookViewId="0">
      <selection activeCell="J14" sqref="J14"/>
    </sheetView>
  </sheetViews>
  <sheetFormatPr defaultRowHeight="16.5" x14ac:dyDescent="0.3"/>
  <cols>
    <col min="1" max="16384" width="9" style="6"/>
  </cols>
  <sheetData/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85" zoomScaleNormal="85" workbookViewId="0">
      <selection activeCell="Q18" sqref="Q18"/>
    </sheetView>
  </sheetViews>
  <sheetFormatPr defaultRowHeight="16.5" x14ac:dyDescent="0.3"/>
  <cols>
    <col min="1" max="16384" width="9" style="6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12</vt:i4>
      </vt:variant>
    </vt:vector>
  </HeadingPairs>
  <TitlesOfParts>
    <vt:vector size="25" baseType="lpstr">
      <vt:lpstr>회원정보</vt:lpstr>
      <vt:lpstr>후원정보</vt:lpstr>
      <vt:lpstr>후원내역</vt:lpstr>
      <vt:lpstr>굿즈구입내역</vt:lpstr>
      <vt:lpstr>봉사활동 후기</vt:lpstr>
      <vt:lpstr>메인</vt:lpstr>
      <vt:lpstr>후원하기</vt:lpstr>
      <vt:lpstr>굿즈</vt:lpstr>
      <vt:lpstr>굿즈정보</vt:lpstr>
      <vt:lpstr>자료처리</vt:lpstr>
      <vt:lpstr>봉사활동</vt:lpstr>
      <vt:lpstr>관리자</vt:lpstr>
      <vt:lpstr>마이페이지</vt:lpstr>
      <vt:lpstr>봉사활동!Criteria</vt:lpstr>
      <vt:lpstr>회원정보!Criteria</vt:lpstr>
      <vt:lpstr>후원내역!Criteria</vt:lpstr>
      <vt:lpstr>봉사활동!Extract</vt:lpstr>
      <vt:lpstr>회원정보!Extract</vt:lpstr>
      <vt:lpstr>후원내역!Extract</vt:lpstr>
      <vt:lpstr>TOP_3</vt:lpstr>
      <vt:lpstr>view</vt:lpstr>
      <vt:lpstr>굿즈_view</vt:lpstr>
      <vt:lpstr>색깔</vt:lpstr>
      <vt:lpstr>키패드</vt:lpstr>
      <vt:lpstr>회원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2022-06-27T06:31:28Z</dcterms:created>
  <dcterms:modified xsi:type="dcterms:W3CDTF">2022-07-13T02:44:50Z</dcterms:modified>
</cp:coreProperties>
</file>