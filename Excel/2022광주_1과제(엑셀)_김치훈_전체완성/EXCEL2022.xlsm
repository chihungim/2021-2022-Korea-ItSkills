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activeX/activeX3.xml" ContentType="application/vnd.ms-office.activeX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40일 공개과제\1과제\광주\김치훈_1과제_광주_채점\"/>
    </mc:Choice>
  </mc:AlternateContent>
  <bookViews>
    <workbookView xWindow="0" yWindow="0" windowWidth="19200" windowHeight="6165"/>
  </bookViews>
  <sheets>
    <sheet name="로그인" sheetId="1" r:id="rId1"/>
    <sheet name="메인" sheetId="2" r:id="rId2"/>
    <sheet name="교사" sheetId="3" r:id="rId3"/>
    <sheet name="학생" sheetId="4" r:id="rId4"/>
    <sheet name="문제" sheetId="5" r:id="rId5"/>
    <sheet name="성적" sheetId="6" r:id="rId6"/>
    <sheet name="문제보기" sheetId="7" state="hidden" r:id="rId7"/>
    <sheet name="재확인문제" sheetId="8" r:id="rId8"/>
    <sheet name="질문답변" sheetId="9" r:id="rId9"/>
    <sheet name="설문조사" sheetId="10" r:id="rId10"/>
    <sheet name="자료처리" sheetId="11" r:id="rId11"/>
  </sheets>
  <definedNames>
    <definedName name="_xlnm._FilterDatabase" localSheetId="4" hidden="1">문제!$A$1:$K$120</definedName>
    <definedName name="_xlnm._FilterDatabase" localSheetId="6" hidden="1">문제보기!$A$4:$E$384</definedName>
    <definedName name="_xlnm._FilterDatabase" localSheetId="5" hidden="1">성적!$A$1:$H$39</definedName>
    <definedName name="A_">자료처리!$H$1</definedName>
    <definedName name="B_">자료처리!$H$2</definedName>
    <definedName name="C_">자료처리!$H$3</definedName>
    <definedName name="_xlnm.Criteria" localSheetId="6">문제보기!$A$1:$A$2</definedName>
    <definedName name="_xlnm.Criteria" localSheetId="5">성적!$O$1:$O$2</definedName>
    <definedName name="_xlnm.Criteria" localSheetId="10">자료처리!$O$1:$O$11</definedName>
    <definedName name="_xlnm.Criteria" localSheetId="3">학생!$I$1:$I$2</definedName>
    <definedName name="_xlnm.Extract" localSheetId="10">자료처리!$S$1:$Z$1</definedName>
    <definedName name="_xlnm.Extract" localSheetId="3">학생!$L$1:$N$1</definedName>
    <definedName name="idx">자료처리!$AB$2</definedName>
    <definedName name="바리스타">자료처리!$I$1</definedName>
    <definedName name="번호">자료처리!$A$1</definedName>
    <definedName name="선택문제">자료처리!$A$3</definedName>
    <definedName name="선택질문">자료처리!$A$4</definedName>
    <definedName name="제과">자료처리!$I$2</definedName>
    <definedName name="제빵">자료처리!$I$3</definedName>
    <definedName name="타입">자료처리!$A$2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D2" i="7"/>
  <c r="E2" i="7"/>
  <c r="F2" i="7"/>
  <c r="B2" i="7"/>
  <c r="F39" i="6"/>
  <c r="G39" i="6"/>
  <c r="M3" i="11" l="1"/>
  <c r="M4" i="11"/>
  <c r="M5" i="11"/>
  <c r="M6" i="11"/>
  <c r="M7" i="11"/>
  <c r="M8" i="11"/>
  <c r="M9" i="11"/>
  <c r="M10" i="11"/>
  <c r="M11" i="11"/>
  <c r="M2" i="11"/>
  <c r="AF2" i="11"/>
  <c r="AG2" i="11" s="1"/>
  <c r="G2" i="9" l="1"/>
  <c r="G3" i="9"/>
  <c r="G4" i="9"/>
  <c r="G5" i="9"/>
  <c r="G6" i="9"/>
  <c r="G7" i="9"/>
  <c r="G8" i="9"/>
  <c r="G9" i="9"/>
  <c r="G10" i="9"/>
  <c r="H2" i="9"/>
  <c r="H3" i="9"/>
  <c r="H4" i="9"/>
  <c r="H5" i="9"/>
  <c r="H6" i="9"/>
  <c r="H7" i="9"/>
  <c r="H8" i="9"/>
  <c r="H9" i="9"/>
  <c r="H10" i="9"/>
  <c r="O3" i="11" l="1"/>
  <c r="O4" i="11"/>
  <c r="O5" i="11"/>
  <c r="O6" i="11"/>
  <c r="O7" i="11"/>
  <c r="O8" i="11"/>
  <c r="O9" i="11"/>
  <c r="O10" i="11"/>
  <c r="O11" i="11"/>
  <c r="O2" i="11"/>
  <c r="I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J4" i="5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O2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G2" i="7" s="1"/>
  <c r="F30" i="6"/>
  <c r="F31" i="6"/>
  <c r="F32" i="6"/>
  <c r="F33" i="6"/>
  <c r="F34" i="6"/>
  <c r="F35" i="6"/>
  <c r="F36" i="6"/>
  <c r="F37" i="6"/>
  <c r="F38" i="6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C1" i="11"/>
  <c r="D1" i="11"/>
  <c r="E1" i="11"/>
  <c r="F1" i="11"/>
  <c r="A2" i="11" s="1"/>
  <c r="G1" i="11"/>
  <c r="B1" i="11"/>
  <c r="M2" i="6" l="1"/>
  <c r="L2" i="6"/>
  <c r="J84" i="5"/>
  <c r="K84" i="5" s="1"/>
  <c r="J71" i="5"/>
  <c r="K71" i="5" s="1"/>
  <c r="J69" i="5"/>
  <c r="K69" i="5" s="1"/>
  <c r="J68" i="5"/>
  <c r="K68" i="5" s="1"/>
  <c r="J55" i="5"/>
  <c r="K55" i="5" s="1"/>
  <c r="J53" i="5"/>
  <c r="K53" i="5" s="1"/>
  <c r="J52" i="5"/>
  <c r="K52" i="5" s="1"/>
  <c r="J39" i="5"/>
  <c r="K39" i="5" s="1"/>
  <c r="J119" i="5"/>
  <c r="K119" i="5" s="1"/>
  <c r="J37" i="5"/>
  <c r="K37" i="5" s="1"/>
  <c r="J117" i="5"/>
  <c r="K117" i="5" s="1"/>
  <c r="J36" i="5"/>
  <c r="K36" i="5" s="1"/>
  <c r="K20" i="5"/>
  <c r="J116" i="5"/>
  <c r="K116" i="5" s="1"/>
  <c r="J23" i="5"/>
  <c r="K23" i="5" s="1"/>
  <c r="J103" i="5"/>
  <c r="K103" i="5" s="1"/>
  <c r="J21" i="5"/>
  <c r="K21" i="5" s="1"/>
  <c r="J101" i="5"/>
  <c r="K101" i="5" s="1"/>
  <c r="J20" i="5"/>
  <c r="J100" i="5"/>
  <c r="K100" i="5" s="1"/>
  <c r="J7" i="5"/>
  <c r="K7" i="5" s="1"/>
  <c r="J87" i="5"/>
  <c r="K87" i="5" s="1"/>
  <c r="J5" i="5"/>
  <c r="K5" i="5" s="1"/>
  <c r="J85" i="5"/>
  <c r="K85" i="5" s="1"/>
  <c r="J118" i="5"/>
  <c r="K118" i="5" s="1"/>
  <c r="J102" i="5"/>
  <c r="K102" i="5" s="1"/>
  <c r="J86" i="5"/>
  <c r="K86" i="5" s="1"/>
  <c r="J70" i="5"/>
  <c r="K70" i="5" s="1"/>
  <c r="J54" i="5"/>
  <c r="K54" i="5" s="1"/>
  <c r="J38" i="5"/>
  <c r="K38" i="5" s="1"/>
  <c r="J22" i="5"/>
  <c r="K22" i="5" s="1"/>
  <c r="J6" i="5"/>
  <c r="K6" i="5" s="1"/>
  <c r="J115" i="5"/>
  <c r="K115" i="5" s="1"/>
  <c r="J99" i="5"/>
  <c r="K99" i="5" s="1"/>
  <c r="J83" i="5"/>
  <c r="K83" i="5" s="1"/>
  <c r="J67" i="5"/>
  <c r="K67" i="5" s="1"/>
  <c r="J51" i="5"/>
  <c r="K51" i="5" s="1"/>
  <c r="J35" i="5"/>
  <c r="K35" i="5" s="1"/>
  <c r="J19" i="5"/>
  <c r="K19" i="5" s="1"/>
  <c r="J3" i="5"/>
  <c r="K3" i="5" s="1"/>
  <c r="K4" i="5"/>
  <c r="J114" i="5"/>
  <c r="K114" i="5" s="1"/>
  <c r="J98" i="5"/>
  <c r="K98" i="5" s="1"/>
  <c r="J82" i="5"/>
  <c r="K82" i="5" s="1"/>
  <c r="J66" i="5"/>
  <c r="K66" i="5" s="1"/>
  <c r="J50" i="5"/>
  <c r="K50" i="5" s="1"/>
  <c r="J34" i="5"/>
  <c r="K34" i="5" s="1"/>
  <c r="J18" i="5"/>
  <c r="K18" i="5" s="1"/>
  <c r="J2" i="5"/>
  <c r="K2" i="5" s="1"/>
  <c r="J113" i="5"/>
  <c r="K113" i="5" s="1"/>
  <c r="J97" i="5"/>
  <c r="K97" i="5" s="1"/>
  <c r="J81" i="5"/>
  <c r="K81" i="5" s="1"/>
  <c r="J65" i="5"/>
  <c r="K65" i="5" s="1"/>
  <c r="J49" i="5"/>
  <c r="K49" i="5" s="1"/>
  <c r="J33" i="5"/>
  <c r="K33" i="5" s="1"/>
  <c r="J17" i="5"/>
  <c r="K17" i="5" s="1"/>
  <c r="J112" i="5"/>
  <c r="K112" i="5" s="1"/>
  <c r="J96" i="5"/>
  <c r="K96" i="5" s="1"/>
  <c r="J80" i="5"/>
  <c r="K80" i="5" s="1"/>
  <c r="J64" i="5"/>
  <c r="K64" i="5" s="1"/>
  <c r="J48" i="5"/>
  <c r="K48" i="5" s="1"/>
  <c r="J32" i="5"/>
  <c r="K32" i="5" s="1"/>
  <c r="J16" i="5"/>
  <c r="K16" i="5" s="1"/>
  <c r="J111" i="5"/>
  <c r="K111" i="5" s="1"/>
  <c r="J95" i="5"/>
  <c r="K95" i="5" s="1"/>
  <c r="J79" i="5"/>
  <c r="K79" i="5" s="1"/>
  <c r="J63" i="5"/>
  <c r="K63" i="5" s="1"/>
  <c r="J47" i="5"/>
  <c r="K47" i="5" s="1"/>
  <c r="J31" i="5"/>
  <c r="K31" i="5" s="1"/>
  <c r="J15" i="5"/>
  <c r="K15" i="5" s="1"/>
  <c r="J110" i="5"/>
  <c r="K110" i="5" s="1"/>
  <c r="J94" i="5"/>
  <c r="K94" i="5" s="1"/>
  <c r="J78" i="5"/>
  <c r="K78" i="5" s="1"/>
  <c r="J62" i="5"/>
  <c r="K62" i="5" s="1"/>
  <c r="J46" i="5"/>
  <c r="K46" i="5" s="1"/>
  <c r="J30" i="5"/>
  <c r="K30" i="5" s="1"/>
  <c r="J14" i="5"/>
  <c r="K14" i="5" s="1"/>
  <c r="J109" i="5"/>
  <c r="K109" i="5" s="1"/>
  <c r="J93" i="5"/>
  <c r="K93" i="5" s="1"/>
  <c r="J77" i="5"/>
  <c r="K77" i="5" s="1"/>
  <c r="J61" i="5"/>
  <c r="K61" i="5" s="1"/>
  <c r="J45" i="5"/>
  <c r="K45" i="5" s="1"/>
  <c r="J29" i="5"/>
  <c r="K29" i="5" s="1"/>
  <c r="J13" i="5"/>
  <c r="K13" i="5" s="1"/>
  <c r="J108" i="5"/>
  <c r="K108" i="5" s="1"/>
  <c r="J92" i="5"/>
  <c r="K92" i="5" s="1"/>
  <c r="J76" i="5"/>
  <c r="K76" i="5" s="1"/>
  <c r="J60" i="5"/>
  <c r="K60" i="5" s="1"/>
  <c r="J44" i="5"/>
  <c r="K44" i="5" s="1"/>
  <c r="J28" i="5"/>
  <c r="K28" i="5" s="1"/>
  <c r="J12" i="5"/>
  <c r="K12" i="5" s="1"/>
  <c r="J107" i="5"/>
  <c r="K107" i="5" s="1"/>
  <c r="J91" i="5"/>
  <c r="K91" i="5" s="1"/>
  <c r="J75" i="5"/>
  <c r="K75" i="5" s="1"/>
  <c r="J59" i="5"/>
  <c r="K59" i="5" s="1"/>
  <c r="J43" i="5"/>
  <c r="K43" i="5" s="1"/>
  <c r="J27" i="5"/>
  <c r="K27" i="5" s="1"/>
  <c r="J11" i="5"/>
  <c r="K11" i="5" s="1"/>
  <c r="J106" i="5"/>
  <c r="K106" i="5" s="1"/>
  <c r="J90" i="5"/>
  <c r="K90" i="5" s="1"/>
  <c r="J74" i="5"/>
  <c r="K74" i="5" s="1"/>
  <c r="J58" i="5"/>
  <c r="K58" i="5" s="1"/>
  <c r="J42" i="5"/>
  <c r="K42" i="5" s="1"/>
  <c r="J26" i="5"/>
  <c r="K26" i="5" s="1"/>
  <c r="J10" i="5"/>
  <c r="K10" i="5" s="1"/>
  <c r="J105" i="5"/>
  <c r="K105" i="5" s="1"/>
  <c r="J89" i="5"/>
  <c r="K89" i="5" s="1"/>
  <c r="J73" i="5"/>
  <c r="K73" i="5" s="1"/>
  <c r="J57" i="5"/>
  <c r="K57" i="5" s="1"/>
  <c r="J41" i="5"/>
  <c r="K41" i="5" s="1"/>
  <c r="J25" i="5"/>
  <c r="K25" i="5" s="1"/>
  <c r="J9" i="5"/>
  <c r="K9" i="5" s="1"/>
  <c r="J120" i="5"/>
  <c r="K120" i="5" s="1"/>
  <c r="J104" i="5"/>
  <c r="K104" i="5" s="1"/>
  <c r="J88" i="5"/>
  <c r="K88" i="5" s="1"/>
  <c r="J72" i="5"/>
  <c r="K72" i="5" s="1"/>
  <c r="J56" i="5"/>
  <c r="K56" i="5" s="1"/>
  <c r="J40" i="5"/>
  <c r="K40" i="5" s="1"/>
  <c r="J24" i="5"/>
  <c r="K24" i="5" s="1"/>
  <c r="J8" i="5"/>
  <c r="K8" i="5" s="1"/>
</calcChain>
</file>

<file path=xl/sharedStrings.xml><?xml version="1.0" encoding="utf-8"?>
<sst xmlns="http://schemas.openxmlformats.org/spreadsheetml/2006/main" count="2390" uniqueCount="1185">
  <si>
    <t>학반</t>
  </si>
  <si>
    <t>이름</t>
  </si>
  <si>
    <t>ID</t>
  </si>
  <si>
    <t>PW</t>
  </si>
  <si>
    <t>주민번호</t>
  </si>
  <si>
    <t>연락처</t>
  </si>
  <si>
    <t>이동훈</t>
  </si>
  <si>
    <t>teacher01</t>
  </si>
  <si>
    <t>teacher01!</t>
  </si>
  <si>
    <t>701216-1******</t>
  </si>
  <si>
    <t>010-1234-4567</t>
  </si>
  <si>
    <t>김미애</t>
  </si>
  <si>
    <t>teacher02</t>
  </si>
  <si>
    <t>teacher02!</t>
  </si>
  <si>
    <t>810807-1******</t>
  </si>
  <si>
    <t>010-5284-8579</t>
  </si>
  <si>
    <t>강미은</t>
  </si>
  <si>
    <t>teacher03</t>
  </si>
  <si>
    <t>teacher03!</t>
  </si>
  <si>
    <t>860130-2******</t>
  </si>
  <si>
    <t>010-1125-8498</t>
  </si>
  <si>
    <t>김수아</t>
  </si>
  <si>
    <t>teacher04</t>
  </si>
  <si>
    <t>teacher04!</t>
  </si>
  <si>
    <t>800506-2******</t>
  </si>
  <si>
    <t>010-9965-1220</t>
  </si>
  <si>
    <t>김희은</t>
  </si>
  <si>
    <t>teacher05</t>
  </si>
  <si>
    <t>teacher05!</t>
  </si>
  <si>
    <t>720426-2******</t>
  </si>
  <si>
    <t>010-7436-5284</t>
  </si>
  <si>
    <t>학번</t>
  </si>
  <si>
    <t>주민등록번호</t>
  </si>
  <si>
    <t>권진경</t>
  </si>
  <si>
    <t>student02</t>
  </si>
  <si>
    <t>010502-3******</t>
  </si>
  <si>
    <t>010-7487-4531</t>
  </si>
  <si>
    <t>김미경</t>
  </si>
  <si>
    <t>student03</t>
  </si>
  <si>
    <t>010509-4******</t>
  </si>
  <si>
    <t>010-9621-2489</t>
  </si>
  <si>
    <t>김수진</t>
  </si>
  <si>
    <t>student04</t>
  </si>
  <si>
    <t>011001-4******</t>
  </si>
  <si>
    <t>010-8317-8135</t>
  </si>
  <si>
    <t>김영애</t>
  </si>
  <si>
    <t>student05</t>
  </si>
  <si>
    <t>011122-4******</t>
  </si>
  <si>
    <t>010-9974-0465</t>
  </si>
  <si>
    <t>김은남</t>
  </si>
  <si>
    <t>student06</t>
  </si>
  <si>
    <t>010710-3******</t>
  </si>
  <si>
    <t>010-6574-7460</t>
  </si>
  <si>
    <t>김은지</t>
  </si>
  <si>
    <t>student07</t>
  </si>
  <si>
    <t>010419-4******</t>
  </si>
  <si>
    <t>010-4678-5131</t>
  </si>
  <si>
    <t>김정화</t>
  </si>
  <si>
    <t>student08</t>
  </si>
  <si>
    <t>010625-4******</t>
  </si>
  <si>
    <t>010-3967-5489</t>
  </si>
  <si>
    <t>김지연</t>
  </si>
  <si>
    <t>student09</t>
  </si>
  <si>
    <t>010622-4******</t>
  </si>
  <si>
    <t>010-2168-3540</t>
  </si>
  <si>
    <t>김진성</t>
  </si>
  <si>
    <t>student10</t>
  </si>
  <si>
    <t>011229-3******</t>
  </si>
  <si>
    <t>010-3216-6870</t>
  </si>
  <si>
    <t>김진희</t>
  </si>
  <si>
    <t>student11</t>
  </si>
  <si>
    <t>011028-4******</t>
  </si>
  <si>
    <t>010-7893-4212</t>
  </si>
  <si>
    <t>김효은</t>
  </si>
  <si>
    <t>student12</t>
  </si>
  <si>
    <t>010221-4******</t>
  </si>
  <si>
    <t>010-9547-6640</t>
  </si>
  <si>
    <t>문혜경</t>
  </si>
  <si>
    <t>student13</t>
  </si>
  <si>
    <t>010921-4******</t>
  </si>
  <si>
    <t>010-4893-1237</t>
  </si>
  <si>
    <t>박영륜</t>
  </si>
  <si>
    <t>student14</t>
  </si>
  <si>
    <t>010715-3******</t>
  </si>
  <si>
    <t>010-3579-6154</t>
  </si>
  <si>
    <t>박진영</t>
  </si>
  <si>
    <t>student15</t>
  </si>
  <si>
    <t>010509-3******</t>
  </si>
  <si>
    <t>010-6873-1237</t>
  </si>
  <si>
    <t>박혜경</t>
  </si>
  <si>
    <t>student16</t>
  </si>
  <si>
    <t>010601-4******</t>
  </si>
  <si>
    <t>010-3578-6934</t>
  </si>
  <si>
    <t>배운희</t>
  </si>
  <si>
    <t>student17</t>
  </si>
  <si>
    <t>010505-4******</t>
  </si>
  <si>
    <t>010-9687-3456</t>
  </si>
  <si>
    <t>송보람</t>
  </si>
  <si>
    <t>student18</t>
  </si>
  <si>
    <t>010605-4******</t>
  </si>
  <si>
    <t>010-5897-0189</t>
  </si>
  <si>
    <t>송화수</t>
  </si>
  <si>
    <t>student19</t>
  </si>
  <si>
    <t>010802-4******</t>
  </si>
  <si>
    <t>010-3567-2049</t>
  </si>
  <si>
    <t>신은혜</t>
  </si>
  <si>
    <t>student20</t>
  </si>
  <si>
    <t>010702-4******</t>
  </si>
  <si>
    <t>010-9327-7831</t>
  </si>
  <si>
    <t>윤인선</t>
  </si>
  <si>
    <t>student21</t>
  </si>
  <si>
    <t>000224-4******</t>
  </si>
  <si>
    <t>010-6785-1625</t>
  </si>
  <si>
    <t>이인선</t>
  </si>
  <si>
    <t>student22</t>
  </si>
  <si>
    <t>000331-4******</t>
  </si>
  <si>
    <t>010-3698-4912</t>
  </si>
  <si>
    <t>이정애</t>
  </si>
  <si>
    <t>student23</t>
  </si>
  <si>
    <t>000525-4******</t>
  </si>
  <si>
    <t>010-9531-4568</t>
  </si>
  <si>
    <t>이지혜</t>
  </si>
  <si>
    <t>student24</t>
  </si>
  <si>
    <t>000616-4******</t>
  </si>
  <si>
    <t>010-7195-3452</t>
  </si>
  <si>
    <t>이진주</t>
  </si>
  <si>
    <t>student25</t>
  </si>
  <si>
    <t>000414-4******</t>
  </si>
  <si>
    <t>010-2216-3348</t>
  </si>
  <si>
    <t>이화경</t>
  </si>
  <si>
    <t>student26</t>
  </si>
  <si>
    <t>000319-4******</t>
  </si>
  <si>
    <t>010-1502-9153</t>
  </si>
  <si>
    <t>임영주</t>
  </si>
  <si>
    <t>student27</t>
  </si>
  <si>
    <t>000518-4******</t>
  </si>
  <si>
    <t>010-0152-3513</t>
  </si>
  <si>
    <t>김선미</t>
  </si>
  <si>
    <t>student28</t>
  </si>
  <si>
    <t>000618-4******</t>
  </si>
  <si>
    <t>010-4512-3752</t>
  </si>
  <si>
    <t>이중남</t>
  </si>
  <si>
    <t>student29</t>
  </si>
  <si>
    <t>000114-3******</t>
  </si>
  <si>
    <t>010-1111-2222</t>
  </si>
  <si>
    <t>박범신</t>
  </si>
  <si>
    <t>student30</t>
  </si>
  <si>
    <t>000115-3******</t>
  </si>
  <si>
    <t>010-3751-5591</t>
  </si>
  <si>
    <t>한상민</t>
  </si>
  <si>
    <t>student31</t>
  </si>
  <si>
    <t>001011-3******</t>
  </si>
  <si>
    <t>010-9534-1186</t>
  </si>
  <si>
    <t>민수진</t>
  </si>
  <si>
    <t>student32</t>
  </si>
  <si>
    <t>001103-4******</t>
  </si>
  <si>
    <t>010-9135-7325</t>
  </si>
  <si>
    <t>민윤지</t>
  </si>
  <si>
    <t>student33</t>
  </si>
  <si>
    <t>001222-4******</t>
  </si>
  <si>
    <t>010-2594-3489</t>
  </si>
  <si>
    <t>윤성식</t>
  </si>
  <si>
    <t>student34</t>
  </si>
  <si>
    <t>000505-3******</t>
  </si>
  <si>
    <t>010-3795-9562</t>
  </si>
  <si>
    <t>성나현</t>
  </si>
  <si>
    <t>student35</t>
  </si>
  <si>
    <t>000517-4******</t>
  </si>
  <si>
    <t>010-4958-7315</t>
  </si>
  <si>
    <t>현철민</t>
  </si>
  <si>
    <t>student36</t>
  </si>
  <si>
    <t>001106-3******</t>
  </si>
  <si>
    <t>010-2344-9266</t>
  </si>
  <si>
    <t>박신경</t>
  </si>
  <si>
    <t>student37</t>
  </si>
  <si>
    <t>001219-3******</t>
  </si>
  <si>
    <t>010-5971-3611</t>
  </si>
  <si>
    <t>서민수</t>
  </si>
  <si>
    <t>student38</t>
  </si>
  <si>
    <t>001201-3******</t>
  </si>
  <si>
    <t>010-4926-3488</t>
  </si>
  <si>
    <t>현진아</t>
  </si>
  <si>
    <t>student39</t>
  </si>
  <si>
    <t>000305-4******</t>
  </si>
  <si>
    <t>010-3915-7569</t>
  </si>
  <si>
    <t>이대한</t>
  </si>
  <si>
    <t>student40</t>
  </si>
  <si>
    <t>000806-3******</t>
  </si>
  <si>
    <t>010-9561-8555</t>
  </si>
  <si>
    <t>박숙자</t>
  </si>
  <si>
    <t>student41</t>
  </si>
  <si>
    <t>990111-2******</t>
  </si>
  <si>
    <t>010-8851-9135</t>
  </si>
  <si>
    <t>백장미</t>
  </si>
  <si>
    <t>student42</t>
  </si>
  <si>
    <t>990405-2******</t>
  </si>
  <si>
    <t>010-4861-1556</t>
  </si>
  <si>
    <t>한송이</t>
  </si>
  <si>
    <t>student43</t>
  </si>
  <si>
    <t>990104-2******</t>
  </si>
  <si>
    <t>010-3159-2982</t>
  </si>
  <si>
    <t>student44</t>
  </si>
  <si>
    <t>990605-2******</t>
  </si>
  <si>
    <t>010-3218-3548</t>
  </si>
  <si>
    <t>student45</t>
  </si>
  <si>
    <t>991015-2******</t>
  </si>
  <si>
    <t>010-3921-7525</t>
  </si>
  <si>
    <t>조선재</t>
  </si>
  <si>
    <t>student46</t>
  </si>
  <si>
    <t>990415-1******</t>
  </si>
  <si>
    <t>010-7531-3591</t>
  </si>
  <si>
    <t>신아라</t>
  </si>
  <si>
    <t>student47</t>
  </si>
  <si>
    <t>990516-2******</t>
  </si>
  <si>
    <t>010-1545-6813</t>
  </si>
  <si>
    <t>박동수</t>
  </si>
  <si>
    <t>student48</t>
  </si>
  <si>
    <t>990816-1******</t>
  </si>
  <si>
    <t>010-9567-2541</t>
  </si>
  <si>
    <t>김미연</t>
  </si>
  <si>
    <t>student49</t>
  </si>
  <si>
    <t>990105-2******</t>
  </si>
  <si>
    <t>010-2841-3694</t>
  </si>
  <si>
    <t>이정은</t>
  </si>
  <si>
    <t>student50</t>
  </si>
  <si>
    <t>990607-2******</t>
  </si>
  <si>
    <t>010-8215-3156</t>
  </si>
  <si>
    <t>김현숙</t>
  </si>
  <si>
    <t>student51</t>
  </si>
  <si>
    <t>990703-2******</t>
  </si>
  <si>
    <t>010-7523-3953</t>
  </si>
  <si>
    <t>조영호</t>
  </si>
  <si>
    <t>student52</t>
  </si>
  <si>
    <t>990424-1******</t>
  </si>
  <si>
    <t>010-1953-1853</t>
  </si>
  <si>
    <t>이현아</t>
  </si>
  <si>
    <t>student53</t>
  </si>
  <si>
    <t>991221-2******</t>
  </si>
  <si>
    <t>010-6485-5951</t>
  </si>
  <si>
    <t>현진영</t>
  </si>
  <si>
    <t>student54</t>
  </si>
  <si>
    <t>990604-1******</t>
  </si>
  <si>
    <t>010-5195-6851</t>
  </si>
  <si>
    <t>김선명</t>
  </si>
  <si>
    <t>student55</t>
  </si>
  <si>
    <t>990825-1******</t>
  </si>
  <si>
    <t>010-3485-1595</t>
  </si>
  <si>
    <t>박준형</t>
  </si>
  <si>
    <t>student56</t>
  </si>
  <si>
    <t>991103-1******</t>
  </si>
  <si>
    <t>010-8531-1358</t>
  </si>
  <si>
    <t>송세진</t>
  </si>
  <si>
    <t>student57</t>
  </si>
  <si>
    <t>990409-1******</t>
  </si>
  <si>
    <t>010-9951-4853</t>
  </si>
  <si>
    <t>이재훈</t>
  </si>
  <si>
    <t>student58</t>
  </si>
  <si>
    <t>990702-1******</t>
  </si>
  <si>
    <t>010-1595-2215</t>
  </si>
  <si>
    <t>이하영</t>
  </si>
  <si>
    <t>student59</t>
  </si>
  <si>
    <t>991124-2******</t>
  </si>
  <si>
    <t>010-1589-2665</t>
  </si>
  <si>
    <t>정채연</t>
  </si>
  <si>
    <t>student60</t>
  </si>
  <si>
    <t>991205-2******</t>
  </si>
  <si>
    <t>010-3450-1156</t>
  </si>
  <si>
    <t>번호</t>
  </si>
  <si>
    <t>문제</t>
  </si>
  <si>
    <t>보기1</t>
  </si>
  <si>
    <t>보기2</t>
  </si>
  <si>
    <t>보기3</t>
  </si>
  <si>
    <t>보기4</t>
  </si>
  <si>
    <t>답</t>
  </si>
  <si>
    <t>A-1</t>
  </si>
  <si>
    <t>아라비아 지역에서 재배되기 시작한 커피가 최초로 전파된 유럽의 도시는 어디인가?</t>
  </si>
  <si>
    <t>파리</t>
  </si>
  <si>
    <t>베니스</t>
  </si>
  <si>
    <t>런던</t>
  </si>
  <si>
    <t>비엔나</t>
  </si>
  <si>
    <t>A-2</t>
  </si>
  <si>
    <t>건식법(Dry processing)으로 생산된 생두를 창고를 열어 계절풍을 쐬어 가공한 커피로 신맛은 적고 입에서의 느낌이 묵직하고 독특한 향을 느낄 수 있는 인도산 커피는?</t>
  </si>
  <si>
    <t>Old coffee</t>
  </si>
  <si>
    <t>Aged coffee</t>
  </si>
  <si>
    <t>Monsooned coffee</t>
  </si>
  <si>
    <t>Organic coffee</t>
  </si>
  <si>
    <t>A-3</t>
  </si>
  <si>
    <t>커피 열매 성숙의 마지막 단계에서 나타나는 현상은?</t>
  </si>
  <si>
    <t>엽록소 증가</t>
  </si>
  <si>
    <t>색소 합성</t>
  </si>
  <si>
    <t>페놀릭(Phenolic) 합성물 증가</t>
  </si>
  <si>
    <t>아로마의 주성분인 방향 물질 감소</t>
  </si>
  <si>
    <t>A-4</t>
  </si>
  <si>
    <t>커피나무가 이 병에 걸리면 수확량이 감소하고 성장이 방해되어 나무가 죽을 수 있으며, 현재까지 알려진 커피 질병 중 패해가 가장 큰 것으로 보고되고 있다. 이에 관련되는 질병은 아래의 어느 것인가?</t>
  </si>
  <si>
    <t>Coffee Berry Disease</t>
  </si>
  <si>
    <t>Coffee Leaf Rust</t>
  </si>
  <si>
    <t>Coffee Ringspot Virus</t>
  </si>
  <si>
    <t>offee Wilt Disease</t>
  </si>
  <si>
    <t>A-5</t>
  </si>
  <si>
    <t>습식법(Wet processing)의 공정 순서가 바른 것은?</t>
  </si>
  <si>
    <t>수확→분리→과육제거→발효→건조→세척→탈곡→선별→포장→보관</t>
  </si>
  <si>
    <t>수확→분리→과육제거→건조→발효→세척→탈곡→선별→포장→보관</t>
  </si>
  <si>
    <t>수확→분리→과육제거→세척→발효→건조→탈곡→선별→포장→보관</t>
  </si>
  <si>
    <t>수확→분리→과육제거→발효→세척→건조→탈곡→선별→포장→보관</t>
  </si>
  <si>
    <t>A-6</t>
  </si>
  <si>
    <t>커피의 스크린 사이즈별 명칭을 큰 순서대로 나열한 것을 고르시오.</t>
  </si>
  <si>
    <t>Very Large &gt;Extra Large &gt;Bold &gt;Good Bean</t>
  </si>
  <si>
    <t>Extra Large &gt;Very Large &gt;Bold &gt;Good Bean</t>
  </si>
  <si>
    <t>Very Large &gt;Extra Large &gt;Good &gt;Bold Bean</t>
  </si>
  <si>
    <t>Extra Large &gt;Very Large &gt;Good &gt;Bold Bean</t>
  </si>
  <si>
    <t>A-7</t>
  </si>
  <si>
    <t>다음 중 ( )에 올바르게 설명된 것을 고르시오.</t>
  </si>
  <si>
    <t>350, 5, 200 ,0</t>
  </si>
  <si>
    <t>350, 5, 100, 0</t>
  </si>
  <si>
    <t>300, 5, 100, 1</t>
  </si>
  <si>
    <t>300, 8, 100, 1</t>
  </si>
  <si>
    <t>A-8</t>
  </si>
  <si>
    <t>우유를 40°C 이상으로 가열할 때 생성되는 얇은 피막의 주성분은 무엇인가?</t>
  </si>
  <si>
    <t>카세인</t>
  </si>
  <si>
    <t>베타-락토글로불린</t>
  </si>
  <si>
    <t>알파-락트알부민</t>
  </si>
  <si>
    <t>칼슘</t>
  </si>
  <si>
    <t>A-9</t>
  </si>
  <si>
    <t>Ochratoxin(오크라톡신) A에 대한 설명 중 옳은 것은?</t>
  </si>
  <si>
    <t>곰팡이 독소의 종류이다.</t>
  </si>
  <si>
    <t>단백질의 일종이다.</t>
  </si>
  <si>
    <t>무기질의 종류이다.</t>
  </si>
  <si>
    <t>유산균의 일종이다.</t>
  </si>
  <si>
    <t>A-10</t>
  </si>
  <si>
    <t>커피전문점의 경영차원에서 ‘해피 아워(Happy hour)’를 올바르게 설명한 것은?</t>
  </si>
  <si>
    <t>사은 특별행사</t>
  </si>
  <si>
    <t>여흥의 시간대</t>
  </si>
  <si>
    <t>가격할인 시간대</t>
  </si>
  <si>
    <t>영업시간 이외의 시간대</t>
  </si>
  <si>
    <t>A-11</t>
  </si>
  <si>
    <t>로스팅 후 원두에서 가장 많이 발생하는 가스는?</t>
  </si>
  <si>
    <t>질소(N2)</t>
  </si>
  <si>
    <t>이산화탄소(CO2)</t>
  </si>
  <si>
    <t>산소(O2)</t>
  </si>
  <si>
    <t>일산화탄소(CO)</t>
  </si>
  <si>
    <t>A-12</t>
  </si>
  <si>
    <t>다음 중 로스팅에 의해 가장 많이 소멸되는 생두의 성분은?</t>
  </si>
  <si>
    <t>단백질</t>
  </si>
  <si>
    <t>카페인</t>
  </si>
  <si>
    <t>수분</t>
  </si>
  <si>
    <t>지방</t>
  </si>
  <si>
    <t>A-13</t>
  </si>
  <si>
    <t>로스팅 8단계 분류 중 프렌치 로스트(French roast)에 해당되는 SCAA 단계별 명칭은?</t>
  </si>
  <si>
    <t>Dark roast</t>
  </si>
  <si>
    <t>Moderately dark roast</t>
  </si>
  <si>
    <t>Medium roast</t>
  </si>
  <si>
    <t>Very dark roast</t>
  </si>
  <si>
    <t>A-14</t>
  </si>
  <si>
    <t>다음 중 커피의 음용이 체내 흡수에 영향을 미치는 영양소는?</t>
  </si>
  <si>
    <t>Fe(철분)</t>
  </si>
  <si>
    <t>Na(나트륨)</t>
  </si>
  <si>
    <t>Ca(칼슘)</t>
  </si>
  <si>
    <t>K(칼륨)</t>
  </si>
  <si>
    <t>A-15</t>
  </si>
  <si>
    <t>다음 중 커피의 건류 반응(Dry distillation)에 의하여 생성된 향기가 아닌 것은?</t>
  </si>
  <si>
    <t>Chocolaty</t>
  </si>
  <si>
    <t>Spicy</t>
  </si>
  <si>
    <t>Carbony</t>
  </si>
  <si>
    <t>Turpeny</t>
  </si>
  <si>
    <t>A-16</t>
  </si>
  <si>
    <t>커피 커핑(Cupping) 평가용어에 대한 내용 중 다른 하나는?</t>
  </si>
  <si>
    <t>Soury</t>
  </si>
  <si>
    <t>Acidy</t>
  </si>
  <si>
    <t>Winey</t>
  </si>
  <si>
    <t>Caramelly</t>
  </si>
  <si>
    <t>A-17</t>
  </si>
  <si>
    <t>커피를 약한 화력에 너무 오래 로스팅해서, 캐러멜화가 충분히 진행되지 않아 나타나는 향미의 결함은?</t>
  </si>
  <si>
    <t>Baked</t>
  </si>
  <si>
    <t>Green</t>
  </si>
  <si>
    <t>Tipped</t>
  </si>
  <si>
    <t>Woody</t>
  </si>
  <si>
    <t>A-18</t>
  </si>
  <si>
    <t>커피의 가용성분 중 실제로 커피에 추출된 비율을 무엇이라 하는가?</t>
  </si>
  <si>
    <t>추정 수율</t>
  </si>
  <si>
    <t>수용 비율</t>
  </si>
  <si>
    <t>추출 수율</t>
  </si>
  <si>
    <t>가용 수율</t>
  </si>
  <si>
    <t>A-19</t>
  </si>
  <si>
    <t>커피를 추출하는 방식 중 달임 방식(Decoction)에 해당하는 것은?</t>
  </si>
  <si>
    <t>에스프레소머신</t>
  </si>
  <si>
    <t>페이퍼드립</t>
  </si>
  <si>
    <t>프렌치 프레스</t>
  </si>
  <si>
    <t>이브릭</t>
  </si>
  <si>
    <t>A-20</t>
  </si>
  <si>
    <t>에스프레소와 물을 비교한 물리화학적 특성 중 틀린 것은?</t>
  </si>
  <si>
    <t>굴절률이 증가한다.</t>
  </si>
  <si>
    <t>표면 장력이 증가한다.</t>
  </si>
  <si>
    <t>전기전도도가 높아진다.</t>
  </si>
  <si>
    <t>pH가 낮아진다.</t>
  </si>
  <si>
    <t>A-21</t>
  </si>
  <si>
    <t>다음 커피의 역사적 사건들을 오래 된 순서로 바르게 나열한 것을 고르시오.</t>
  </si>
  <si>
    <t>나-가-라-다</t>
  </si>
  <si>
    <t>나-라-가-다</t>
  </si>
  <si>
    <t>나-가-다-라</t>
  </si>
  <si>
    <t>나-다-가-라</t>
  </si>
  <si>
    <t>A-22</t>
  </si>
  <si>
    <t>외부로의 반출이 엄격히 통제되고 있던 상황에서 커피 묘목을 반출하여 인도네시아에서 커피를 재배함으로써 대규모 커피경작의 역사를 연 나라는?</t>
  </si>
  <si>
    <t>포르투갈</t>
  </si>
  <si>
    <t>프랑스</t>
  </si>
  <si>
    <t>네덜란드</t>
  </si>
  <si>
    <t>영국</t>
  </si>
  <si>
    <t>A-23</t>
  </si>
  <si>
    <t>커피 체리 속에는 일반적으로 두 개의 생두가 자라게 되어 마주보는 면은 구조상 평평한 형태를 보이는데 이런 일반적인 생두를 무엇이라고 부르나?</t>
  </si>
  <si>
    <t>이븐 빈(Even bean)</t>
  </si>
  <si>
    <t>커플 빈(Couple bean)</t>
  </si>
  <si>
    <t>라운드 빈(Round bean)</t>
  </si>
  <si>
    <t>플랫 빈(Flat bean)</t>
  </si>
  <si>
    <t>A-24</t>
  </si>
  <si>
    <t>다음 중 다른 세 나라와 커피를 분류하는 방법이 다른 국가는?</t>
  </si>
  <si>
    <t>브라질</t>
  </si>
  <si>
    <t>인도네시아</t>
  </si>
  <si>
    <t>에티오피아</t>
  </si>
  <si>
    <t>케냐</t>
  </si>
  <si>
    <t>A-25</t>
  </si>
  <si>
    <t>다음 습식법(Wet processing)에 대한 설명 중 옳은 것은?</t>
  </si>
  <si>
    <t>건식법에 비해 커피의 품질이 떨어진다.</t>
  </si>
  <si>
    <t>주로 로부스타 종에 많이 사용된다.</t>
  </si>
  <si>
    <t>단맛이 좋으며 바디가 비교적 강한 커피를 얻을 수 있다.</t>
  </si>
  <si>
    <t>세균에 의한 발효로 산이 생성되어 pH가 3.8-4.0으로 내려간다.</t>
  </si>
  <si>
    <t>A-26</t>
  </si>
  <si>
    <t>SCAA 기준에 따른 결점두(Defect bean)의 발생 원인이 잘못 연결된 것은?</t>
  </si>
  <si>
    <t>Withered Bean: 발육 기간 동안 수분 공급 부족</t>
  </si>
  <si>
    <t>Black Bean: 늦은 수확, 흙과의 장시간 접촉</t>
  </si>
  <si>
    <t>Shell: 불완전한 탈곡과정</t>
  </si>
  <si>
    <t>Floater: 부적절한 보관이나 건조</t>
  </si>
  <si>
    <t>A-27</t>
  </si>
  <si>
    <t>커피 가공 방법은 크게 건식법, 펄프드 내추럴, 습식법으로 나뉜다. 2000년 이후 이 세 가지 가공 방법에 공통적으로 적용되는 공정은 무엇인가?</t>
  </si>
  <si>
    <t>이물질 제거, 선별과정</t>
  </si>
  <si>
    <t>펄핑과정</t>
  </si>
  <si>
    <t>발효과정</t>
  </si>
  <si>
    <t>점액질 제거과정</t>
  </si>
  <si>
    <t>A-28</t>
  </si>
  <si>
    <t>향미가 뛰어난 커피를 생산하기 위한 방법으로 올바른 것은?</t>
  </si>
  <si>
    <t>생두의 수분을 완전히 건조하기 위해 장기간 햇볕에 건조시킨다.</t>
  </si>
  <si>
    <t>완전히 익은 붉은색의 체리를 선별 수확한다.</t>
  </si>
  <si>
    <t>유기농법으로 가공한다.</t>
  </si>
  <si>
    <t>수확 후 커피체리 껍질을 반드시 제거한 다음 건조시켜야 한다.</t>
  </si>
  <si>
    <t>A-29</t>
  </si>
  <si>
    <t>우유에 함유된 성분으로서, 칼슘 흡수를 촉진하는 물질은 무엇인가?</t>
  </si>
  <si>
    <t>불포화지방산</t>
  </si>
  <si>
    <t>유당</t>
  </si>
  <si>
    <t>포화지방산</t>
  </si>
  <si>
    <t>무기질</t>
  </si>
  <si>
    <t>A-30</t>
  </si>
  <si>
    <t>밀크 스티밍(Steaming) 과정에서 우유의 단백질 외에 거품의 안정성에 중요한 역할을 하는 성분은?</t>
  </si>
  <si>
    <t>인</t>
  </si>
  <si>
    <t>A-31</t>
  </si>
  <si>
    <t>다음 커피 메뉴(1잔 기준) 중 칼로리가 가장 높은 것은?</t>
  </si>
  <si>
    <t>화이트초콜릿 모카</t>
  </si>
  <si>
    <t>카페라떼</t>
  </si>
  <si>
    <t>카푸치노</t>
  </si>
  <si>
    <t>아메리카노</t>
  </si>
  <si>
    <t>A-32</t>
  </si>
  <si>
    <t>일부 로스팅 머신에 부착된 댐퍼(Damper)의 기능으로 볼 수 없는 것은?</t>
  </si>
  <si>
    <t>드럼 내부의 공기 흐름을 조절하는 기능</t>
  </si>
  <si>
    <t>드럼 내부의 열량을 조절하는 기능</t>
  </si>
  <si>
    <t>은피를 배출하는 기능</t>
  </si>
  <si>
    <t>흡열과 발열 반응을 조절하는 기능</t>
  </si>
  <si>
    <t>A-33</t>
  </si>
  <si>
    <t>커피 로스팅의 기본적인 세 단계에 속하지 않는 것은?</t>
  </si>
  <si>
    <t>건조(Dry)</t>
  </si>
  <si>
    <t>열분해(Pyrolysis)</t>
  </si>
  <si>
    <t>냉각(Cooling)</t>
  </si>
  <si>
    <t>포장(Packing)</t>
  </si>
  <si>
    <t>A-34</t>
  </si>
  <si>
    <t>다음 중 커피 색상의 변화에 영향을 미치지 않는 것은?</t>
  </si>
  <si>
    <t>클로로겐산</t>
  </si>
  <si>
    <t>멜라노이딘</t>
  </si>
  <si>
    <t>캐러멜</t>
  </si>
  <si>
    <t>A-35</t>
  </si>
  <si>
    <t>커피를 로스팅 할 때 일어나는 성분의 양적 변화가 가장 적은 것은?</t>
  </si>
  <si>
    <t>Caffeine</t>
  </si>
  <si>
    <t>Free sugar</t>
  </si>
  <si>
    <t>Chlorogenic acid</t>
  </si>
  <si>
    <t>Trigonelline</t>
  </si>
  <si>
    <t>A-36</t>
  </si>
  <si>
    <t>커피 추출액 중 가장 많이 함유되어 있는 무기질 성분은?</t>
  </si>
  <si>
    <t>P(인)</t>
  </si>
  <si>
    <t>A-37</t>
  </si>
  <si>
    <t>다음 커피 향미 성분 중 로스팅 과정 중에 생성되는 향이 아닌 것은?</t>
  </si>
  <si>
    <t>Nutty</t>
  </si>
  <si>
    <t>Fruity</t>
  </si>
  <si>
    <t>A-38</t>
  </si>
  <si>
    <t>로스팅에 의한 원두의 물리적 변화 중 로스팅이 진행됨에 따라 값이 증가하지 않는 것은?</t>
  </si>
  <si>
    <t>휘발성 성분</t>
  </si>
  <si>
    <t>가용성 성분</t>
  </si>
  <si>
    <t>부피</t>
  </si>
  <si>
    <t>밀도</t>
  </si>
  <si>
    <t>A-39</t>
  </si>
  <si>
    <t>커피를 추출하기 위해 분쇄하는 이유로 가장 적절한 것은?</t>
  </si>
  <si>
    <t>물에 접촉되는 커피 표면적의 증가</t>
  </si>
  <si>
    <t>짧은 시간에 효율적인 서비스</t>
  </si>
  <si>
    <t>커피 성분의 최대한 추출</t>
  </si>
  <si>
    <t>원가 절감</t>
  </si>
  <si>
    <t>A-40</t>
  </si>
  <si>
    <t>연수기는 주기적으로 청소를 해야 하는데, 이 때 사용하는 것은?</t>
  </si>
  <si>
    <t>소금</t>
  </si>
  <si>
    <t>우유</t>
  </si>
  <si>
    <t>식초</t>
  </si>
  <si>
    <t>뜨거운 물</t>
  </si>
  <si>
    <t>B-1</t>
  </si>
  <si>
    <t>머랭 제조에 대한 설명으로 옳은 것은?</t>
  </si>
  <si>
    <t>기름기나 노른자가 없어야 튼튼한 거품이 나온다.</t>
  </si>
  <si>
    <t>일반적으로 흰자 100에 대하여 설탕 50의 비율로 만든다.</t>
  </si>
  <si>
    <t>저속으로 거품을 올린다.</t>
  </si>
  <si>
    <t>설탕을 믹싱 초기에 첨가하여야 부피가 커진다.</t>
  </si>
  <si>
    <t>B-2</t>
  </si>
  <si>
    <t>파운드 케이크를 패닝할 때 밑면의 껍질 형성을 방지하기 위한 팬으로 가장 적합한 것은?</t>
  </si>
  <si>
    <t>일반팬</t>
  </si>
  <si>
    <t>이중팬</t>
  </si>
  <si>
    <t>은박팬</t>
  </si>
  <si>
    <t>종이팬</t>
  </si>
  <si>
    <t>B-3</t>
  </si>
  <si>
    <t>초콜릿 제품을 생산하는데 필요한 도구는?</t>
  </si>
  <si>
    <t>디핑 포크 (Dipping forks)</t>
  </si>
  <si>
    <t>오븐 (oven)</t>
  </si>
  <si>
    <t>파이 롤러 (pie roller)</t>
  </si>
  <si>
    <t>워터 스프레이 (water spray)</t>
  </si>
  <si>
    <t>B-4</t>
  </si>
  <si>
    <t>어느 제과점의 이번 달 생산예상 총액이 1000만원인 경우, 목표 노동 생산성은 5000원/시/인, 생산 가동 일수가 20일, 1일 작업시간 10시간인 경우 소요인원은?</t>
  </si>
  <si>
    <t>4명</t>
  </si>
  <si>
    <t>6명</t>
  </si>
  <si>
    <t>8명</t>
  </si>
  <si>
    <t>10명</t>
  </si>
  <si>
    <t>B-5</t>
  </si>
  <si>
    <t>냉각으로 인한 빵 속의 수분 함량으로 적당한 것은?</t>
  </si>
  <si>
    <t>약 5%</t>
  </si>
  <si>
    <t>약 15%</t>
  </si>
  <si>
    <t>약 25%</t>
  </si>
  <si>
    <t>약 38%</t>
  </si>
  <si>
    <t>B-6</t>
  </si>
  <si>
    <t>노타임 반죽법에 사용되는 산화, 환원제의 종류가 아닌 것은?</t>
  </si>
  <si>
    <t>ADA(azodicarbonamide)</t>
  </si>
  <si>
    <t>L-시스테인</t>
  </si>
  <si>
    <t>소르브산</t>
  </si>
  <si>
    <t>요오드칼슘</t>
  </si>
  <si>
    <t>B-7</t>
  </si>
  <si>
    <t>어린 반죽(발효가 덜 된 반죽) 으로 제조를 할 경우 중간발효시간은 어떻게 조절되는가?</t>
  </si>
  <si>
    <t>길어진다.</t>
  </si>
  <si>
    <t>짧아진다.</t>
  </si>
  <si>
    <t>같다.</t>
  </si>
  <si>
    <t>판단할 수 없다.</t>
  </si>
  <si>
    <t>B-8</t>
  </si>
  <si>
    <t>다음 중 식빵에서 설탕이 과다할 경우 대응책으로 가장 적합한 것은?</t>
  </si>
  <si>
    <t>소금 양을 늘린다.</t>
  </si>
  <si>
    <t>이스트 양을 늘린다.</t>
  </si>
  <si>
    <t>반죽온도를 낮춘다.</t>
  </si>
  <si>
    <t>발효시간을 줄인다.</t>
  </si>
  <si>
    <t>B-9</t>
  </si>
  <si>
    <t>다음 중 빵의 냉각방법으로 가장 적합한 것은?</t>
  </si>
  <si>
    <t>바람이 없는 실내에서 냉각</t>
  </si>
  <si>
    <t>강한 송풍을 이용한 급냉</t>
  </si>
  <si>
    <t>냉동실에서 냉각</t>
  </si>
  <si>
    <t>수분분사 방식</t>
  </si>
  <si>
    <t>B-10</t>
  </si>
  <si>
    <t>식빵 제조 시 수돗물 온도 20℃, 사용할 물 온도 10℃, 사용물 양 4kg 일 때 사용할 얼음 양은?</t>
  </si>
  <si>
    <t>100g</t>
  </si>
  <si>
    <t>200g</t>
  </si>
  <si>
    <t>300g</t>
  </si>
  <si>
    <t>400g</t>
  </si>
  <si>
    <t>B-11</t>
  </si>
  <si>
    <t>밀가루 중에 손상전분이 제빵 시에 미치는 영향으로 옳은 것은?</t>
  </si>
  <si>
    <t>반죽 시 흡수가 늦고 흡수량이 많다.</t>
  </si>
  <si>
    <t>반죽 시 흡수가 빠르고 흡수량이 적다.</t>
  </si>
  <si>
    <t>발효가 빠르게 진행된다.</t>
  </si>
  <si>
    <t>제빵과 아무 관계가 없다.</t>
  </si>
  <si>
    <t>B-12</t>
  </si>
  <si>
    <t>다음 중 밀가루에 함유되어 있지 않은 색소는?</t>
  </si>
  <si>
    <t>카로틴</t>
  </si>
  <si>
    <t>멜라닌</t>
  </si>
  <si>
    <t>크산토필</t>
  </si>
  <si>
    <t>플라본</t>
  </si>
  <si>
    <t>B-13</t>
  </si>
  <si>
    <t>일반적으로 신선한 우유의 ph는?</t>
  </si>
  <si>
    <t>4.0 ~ 4.5</t>
  </si>
  <si>
    <t>3.0 ~ 4.0</t>
  </si>
  <si>
    <t>5.5 ~ 6.0</t>
  </si>
  <si>
    <t>6.5 ~ 6.7</t>
  </si>
  <si>
    <t>B-14</t>
  </si>
  <si>
    <t>제빵에 있어 일반적으로 껍질을 부드럽게 하는 재료는?</t>
  </si>
  <si>
    <t>밀가루</t>
  </si>
  <si>
    <t>마가린</t>
  </si>
  <si>
    <t>이스트푸드</t>
  </si>
  <si>
    <t>B-15</t>
  </si>
  <si>
    <t>비터 초콜릿 (Bitter Chocolate) 32% 중에서 코코아가 약 얼마 정도 함유되어 있는가?</t>
  </si>
  <si>
    <t>B-16</t>
  </si>
  <si>
    <t>경구감염병과 거리가 먼 것은?</t>
  </si>
  <si>
    <t>유행성 간염</t>
  </si>
  <si>
    <t>콜레라</t>
  </si>
  <si>
    <t>세균성이질</t>
  </si>
  <si>
    <t>일본뇌염</t>
  </si>
  <si>
    <t>B-17</t>
  </si>
  <si>
    <t>세균이 분비한 독소에 의해 감염을 일으키는 것은?</t>
  </si>
  <si>
    <t>감염형 세균성 식중독</t>
  </si>
  <si>
    <t>독소형 세균성 식중독</t>
  </si>
  <si>
    <t>화학성 식중독</t>
  </si>
  <si>
    <t>진균독 식중독</t>
  </si>
  <si>
    <t>B-18</t>
  </si>
  <si>
    <t>경구감염병에 관한 설명 중 틀린 것은?</t>
  </si>
  <si>
    <t>미량의 균으로 감염이 가능하다.</t>
  </si>
  <si>
    <t>식품은 증식매체이다.</t>
  </si>
  <si>
    <t>감염환이 성립된다.</t>
  </si>
  <si>
    <t>잠복기가 길다.</t>
  </si>
  <si>
    <t>B-19</t>
  </si>
  <si>
    <t>주기적으로 열이 반복되어 나타나므로 파상열이라고 불리는 인수공통감염병은?</t>
  </si>
  <si>
    <t>Q열</t>
  </si>
  <si>
    <t>결핵</t>
  </si>
  <si>
    <t>브루셀라병</t>
  </si>
  <si>
    <t>돈단독</t>
  </si>
  <si>
    <t>B-20</t>
  </si>
  <si>
    <t>보툴리누스 식중독에서 나타날 수 있는 주요 증상 및 증후가 아닌 것은?</t>
  </si>
  <si>
    <t>구토 및 설사</t>
  </si>
  <si>
    <t>호흡곤란</t>
  </si>
  <si>
    <t>출혈</t>
  </si>
  <si>
    <t>사망</t>
  </si>
  <si>
    <t>B-21</t>
  </si>
  <si>
    <t>성형한 파이 반죽에 포크 등을 이용하여 구멍을 내주는 가장 주된 이유는?</t>
  </si>
  <si>
    <t>제품을 부드럽게 하기 위해</t>
  </si>
  <si>
    <t>제품의 수축을 막기 위해</t>
  </si>
  <si>
    <t>제품의 원활한 팽창을 위해</t>
  </si>
  <si>
    <t>제품에 기포나 수포가 생기는 것을 막기 위해</t>
  </si>
  <si>
    <t>B-22</t>
  </si>
  <si>
    <t>다음 중 반죽형 케이크의 반죽 제조법에 해당하는 것은?</t>
  </si>
  <si>
    <t>공립법</t>
  </si>
  <si>
    <t>별립법</t>
  </si>
  <si>
    <t>머랭법</t>
  </si>
  <si>
    <t>블렌딩법</t>
  </si>
  <si>
    <t>B-23</t>
  </si>
  <si>
    <t>고율배합의 제품을 굽는 방법으로 알맞은 것은?</t>
  </si>
  <si>
    <t>저온 단시간</t>
  </si>
  <si>
    <t>고온 단시간</t>
  </si>
  <si>
    <t>저온 장시간</t>
  </si>
  <si>
    <t>고온 장시간</t>
  </si>
  <si>
    <t>B-24</t>
  </si>
  <si>
    <t>다음 중 비용적이 가장 큰 케이크는?</t>
  </si>
  <si>
    <t>스펀지케이크</t>
  </si>
  <si>
    <t>파운드 케이크</t>
  </si>
  <si>
    <t>화이트레이어케이크</t>
  </si>
  <si>
    <t>초콜릿케이크</t>
  </si>
  <si>
    <t>B-25</t>
  </si>
  <si>
    <t>냉동반죽의 장점이 아닌 것은?</t>
  </si>
  <si>
    <t>노동력 절약</t>
  </si>
  <si>
    <t>작업 효율의 극대화</t>
  </si>
  <si>
    <t>설비와 공간의 절약</t>
  </si>
  <si>
    <t>이스트푸드의 절감</t>
  </si>
  <si>
    <t>B-26</t>
  </si>
  <si>
    <t>빵 속에 줄무늬가 생기는 원인으로 옳은 것은?</t>
  </si>
  <si>
    <t>덧가루 사용이 과다한 경우</t>
  </si>
  <si>
    <t>반죽개량제의 사용이 과다한 경우</t>
  </si>
  <si>
    <t>밀가루를 체로 치지 않은 경우</t>
  </si>
  <si>
    <t>너무 되거나 진 반죽인 경우</t>
  </si>
  <si>
    <t>B-27</t>
  </si>
  <si>
    <t>반죽이 팬 또는 용기에 가득 차는 성질과 관련된 것은?</t>
  </si>
  <si>
    <t>흐름성</t>
  </si>
  <si>
    <t>가소성</t>
  </si>
  <si>
    <t>탄성</t>
  </si>
  <si>
    <t>점탄성</t>
  </si>
  <si>
    <t>B-28</t>
  </si>
  <si>
    <t>다음 재료 중 식빵 제조 시 반죽 온도에 가장 큰 영향을 주는 것은?</t>
  </si>
  <si>
    <t>설탕</t>
  </si>
  <si>
    <t>반죽개량제</t>
  </si>
  <si>
    <t>B-29</t>
  </si>
  <si>
    <t>제빵용으로 주로 사용되는 도구는?</t>
  </si>
  <si>
    <t>모양깍지</t>
  </si>
  <si>
    <t>돌림판(회전판)</t>
  </si>
  <si>
    <t>짤주머니</t>
  </si>
  <si>
    <t>스크래퍼</t>
  </si>
  <si>
    <t>B-30</t>
  </si>
  <si>
    <t>빵 제품의 껍질색이 연한 원인 설명으로 거리가 먼 것은?</t>
  </si>
  <si>
    <t>1차 발효 과다</t>
  </si>
  <si>
    <t>낮은 오븐 온도</t>
  </si>
  <si>
    <t>덧가루 사용 과다</t>
  </si>
  <si>
    <t>고율배합</t>
  </si>
  <si>
    <t>B-31</t>
  </si>
  <si>
    <t>밀가루 중에 가장 많이 함유된 물질은?</t>
  </si>
  <si>
    <t>전분</t>
  </si>
  <si>
    <t>회분</t>
  </si>
  <si>
    <t>B-32</t>
  </si>
  <si>
    <t>다음 중 효소와 온도에 대한 설명으로 틀린 것은?</t>
  </si>
  <si>
    <t>효소는 일종의 단백질이기 때문에 열에 의해 변성된다.</t>
  </si>
  <si>
    <t>최적온도 수준이 지나도 반응 속도는 증가한다.</t>
  </si>
  <si>
    <t>적정온도 범위에서 온도가 낮아질수록 반응속도는 낮아진다.</t>
  </si>
  <si>
    <t>적정 온도 범위 내에서 온도 10℃ 상승에 따라 효소 활성은 약 2배로 증가한다.</t>
  </si>
  <si>
    <t>B-33</t>
  </si>
  <si>
    <t>패리노그래프 커브의 윗부분이 200B.U.에 닿는 시간을 무엇이 라고 하는가?</t>
  </si>
  <si>
    <t>반죽시간(peak time)</t>
  </si>
  <si>
    <t>도달시간(arrival time)</t>
  </si>
  <si>
    <t>반죽형성시간(dough development time)</t>
  </si>
  <si>
    <t>이탈시간(departure time)</t>
  </si>
  <si>
    <t>B-34</t>
  </si>
  <si>
    <t>제빵에 사용하는 물로 가장 적합한 형태는?</t>
  </si>
  <si>
    <t>아경수</t>
  </si>
  <si>
    <t>알칼리수</t>
  </si>
  <si>
    <t>증류수</t>
  </si>
  <si>
    <t>염수</t>
  </si>
  <si>
    <t>B-35</t>
  </si>
  <si>
    <t>다음 중 당 알코올(sugar alcohol)이 아닌 것은?</t>
  </si>
  <si>
    <t>자일리톨</t>
  </si>
  <si>
    <t>솔비톨</t>
  </si>
  <si>
    <t>갈락티톨</t>
  </si>
  <si>
    <t>글리세롤</t>
  </si>
  <si>
    <t>B-36</t>
  </si>
  <si>
    <t>다음 중 허가된 천연유화제는?</t>
  </si>
  <si>
    <t>구연산</t>
  </si>
  <si>
    <t>고시폴</t>
  </si>
  <si>
    <t>레시틴</t>
  </si>
  <si>
    <t>세사몰</t>
  </si>
  <si>
    <t>B-37</t>
  </si>
  <si>
    <t>다음 중 살모넬라균의 주요 감염원은?</t>
  </si>
  <si>
    <t>채소류</t>
  </si>
  <si>
    <t>육류</t>
  </si>
  <si>
    <t>곡류</t>
  </si>
  <si>
    <t>과일류</t>
  </si>
  <si>
    <t>B-38</t>
  </si>
  <si>
    <t>산양, 양, 돼지, 소에게 감염되면 유산을 일으키고, 인체 감염 시 고열이 주기적으로 일어나는 인수공통감염병은?</t>
  </si>
  <si>
    <t>광우병</t>
  </si>
  <si>
    <t>공수병</t>
  </si>
  <si>
    <t>파상열</t>
  </si>
  <si>
    <t>신증후군출혈열</t>
  </si>
  <si>
    <t>B-39</t>
  </si>
  <si>
    <t>주로 냉동된 육류 등 저온에서도 생존력이 강하고 수막염이나 임신부의 자궁 내 패혈증 등을 일으키는 식중독균은?</t>
  </si>
  <si>
    <t>대장균</t>
  </si>
  <si>
    <t>살모넬라균</t>
  </si>
  <si>
    <t>리스테리아균</t>
  </si>
  <si>
    <t>포도상구균</t>
  </si>
  <si>
    <t>B-40</t>
  </si>
  <si>
    <t>다음 중 감염형 식중독을 일으키는 것은?</t>
  </si>
  <si>
    <t>보툴리누스균</t>
  </si>
  <si>
    <t>고초균</t>
  </si>
  <si>
    <t>C-1</t>
  </si>
  <si>
    <t>제빵 시 완성된 빵의 부피가 비정성적으로 크다면 그 원인으로 가장 적합한 것은?</t>
  </si>
  <si>
    <t>소금을 많이 사용하였다.</t>
  </si>
  <si>
    <t>알칼리성 물을 사용하였다.</t>
  </si>
  <si>
    <t>오븐온도가 낮았다.</t>
  </si>
  <si>
    <t>믹싱이 고율배합이다.</t>
  </si>
  <si>
    <t>C-2</t>
  </si>
  <si>
    <t>옐로에이어 케이크의 적당한 굽기 온도는?</t>
  </si>
  <si>
    <t>140℃</t>
  </si>
  <si>
    <t>150℃</t>
  </si>
  <si>
    <t>160℃</t>
  </si>
  <si>
    <t>180℃</t>
  </si>
  <si>
    <t>C-3</t>
  </si>
  <si>
    <t>무스크림을 만들 떄 가장 많이 이용되는 머랭의 종류는?</t>
  </si>
  <si>
    <t>이탈리안 머랭</t>
  </si>
  <si>
    <t>스위스 머랭</t>
  </si>
  <si>
    <t>온제 머랭</t>
  </si>
  <si>
    <t>냉제 머랭</t>
  </si>
  <si>
    <t>C-4</t>
  </si>
  <si>
    <t>제조 공정 시 표면 건조를 하지 않는 제품은?</t>
  </si>
  <si>
    <t>슈</t>
  </si>
  <si>
    <t>마카롱</t>
  </si>
  <si>
    <t>밤과자</t>
  </si>
  <si>
    <t>핑거쿠키</t>
  </si>
  <si>
    <t>C-5</t>
  </si>
  <si>
    <t>튀김용 기름의 온도가 가장 적합한 것은?</t>
  </si>
  <si>
    <t>140 ~ 150℃</t>
  </si>
  <si>
    <t>160 ~ 170℃</t>
  </si>
  <si>
    <t>180 ~ 190℃</t>
  </si>
  <si>
    <t>200 ~ 210℃</t>
  </si>
  <si>
    <t>C-6</t>
  </si>
  <si>
    <t>굽기의 실패 원인 중 빵의 부피가 작고 껍질색이 짙으며, 껍질이 부스러지고 옆면이 약해지기 쉬운 결과가 생기는 원인은?</t>
  </si>
  <si>
    <t>높은 오븐열</t>
  </si>
  <si>
    <t>불충분한 오븐열</t>
  </si>
  <si>
    <t>너무 많은 증기</t>
  </si>
  <si>
    <t>불충분한 열의 분배</t>
  </si>
  <si>
    <t>C-7</t>
  </si>
  <si>
    <t>식빵에서 설탕을 정량보다 많이 사용하였을 때 나타나는 현상은?</t>
  </si>
  <si>
    <t>껍질이 엷고 부드러워진다.</t>
  </si>
  <si>
    <t>발효가 느리고 팬의 흐름성이 많다.</t>
  </si>
  <si>
    <t>껍질색이 연하며 둥근 모서리를 보인다.</t>
  </si>
  <si>
    <t>향미가 적으며 속 색이 회색 또는 황갈색을 보인다.</t>
  </si>
  <si>
    <t>C-8</t>
  </si>
  <si>
    <t>단위당 판매가격이 70원, 단위당 변동비가 50원, 고정비가 5000원이라고 하면 손익분기점은 얼마인가?</t>
  </si>
  <si>
    <t>150원</t>
  </si>
  <si>
    <t>200원</t>
  </si>
  <si>
    <t>250원</t>
  </si>
  <si>
    <t>300원</t>
  </si>
  <si>
    <t>C-9</t>
  </si>
  <si>
    <t>다음 중 연속식 제빵법의 특징이 아닌 것은?</t>
  </si>
  <si>
    <t>발효손실 감소</t>
  </si>
  <si>
    <t>설비감소, 설비공간, 설비면적 감소</t>
  </si>
  <si>
    <t>노동력 감소</t>
  </si>
  <si>
    <t>일시적 기계구입 비용의 경감</t>
  </si>
  <si>
    <t>C-10</t>
  </si>
  <si>
    <t>다음 중 빵 반죽의 발효에 속하는 것은?</t>
  </si>
  <si>
    <t>낙산발효</t>
  </si>
  <si>
    <t>부패발효</t>
  </si>
  <si>
    <t>알코올발효</t>
  </si>
  <si>
    <t>초산발효</t>
  </si>
  <si>
    <t>C-11</t>
  </si>
  <si>
    <t>베이킹파우더의 산-반응물질(acid-reacting material)이 아닌 것은?</t>
  </si>
  <si>
    <t>주석산과 주석산염</t>
  </si>
  <si>
    <t>인산과 인산염</t>
  </si>
  <si>
    <t>알루미늄 물질</t>
  </si>
  <si>
    <t>중탄성과 중탄산염</t>
  </si>
  <si>
    <t>C-12</t>
  </si>
  <si>
    <t>우유 중 제품의 껍질색을 개선시켜 주는 성분은?</t>
  </si>
  <si>
    <t>유지방</t>
  </si>
  <si>
    <t>광물질</t>
  </si>
  <si>
    <t>C-13</t>
  </si>
  <si>
    <t>물의 기능이 아닌 것은?</t>
  </si>
  <si>
    <t>유화 작용을 한다.</t>
  </si>
  <si>
    <t>반죽 농도를 조절한다.</t>
  </si>
  <si>
    <t>소금 등의 재료를 분산시킨다.</t>
  </si>
  <si>
    <t>효소의 활성을 제공한다.</t>
  </si>
  <si>
    <t>C-14</t>
  </si>
  <si>
    <t>잎을 건조시켜 만든 향신료는?</t>
  </si>
  <si>
    <t>계피</t>
  </si>
  <si>
    <t>넷메그</t>
  </si>
  <si>
    <t>메이스</t>
  </si>
  <si>
    <t>오레가노</t>
  </si>
  <si>
    <t>C-15</t>
  </si>
  <si>
    <t>마가린의 산화방지제로 주로 많이 이용되는 것은?</t>
  </si>
  <si>
    <t>BHA</t>
  </si>
  <si>
    <t>PG</t>
  </si>
  <si>
    <t>EP</t>
  </si>
  <si>
    <t>EDGA</t>
  </si>
  <si>
    <t>C-16</t>
  </si>
  <si>
    <t>식품첨가물의 안전성 시험과 가장 거리가 먼 것은?</t>
  </si>
  <si>
    <t>아급성 독성 시험법</t>
  </si>
  <si>
    <t>만성 독성 시험법</t>
  </si>
  <si>
    <t>맹독성 시험법</t>
  </si>
  <si>
    <t>급성 독성 시험법</t>
  </si>
  <si>
    <t>C-17</t>
  </si>
  <si>
    <t>사람에게 영향을 미치는 결핵균의 병원체를 보유하고 있는 동물은?</t>
  </si>
  <si>
    <t>쥐</t>
  </si>
  <si>
    <t>소</t>
  </si>
  <si>
    <t>말</t>
  </si>
  <si>
    <t>돼지</t>
  </si>
  <si>
    <t>C-18</t>
  </si>
  <si>
    <t>정염 비브리오균에 감염되었을 때 나타나는 주요 증상은?</t>
  </si>
  <si>
    <t>급성위장염 질환</t>
  </si>
  <si>
    <t>피부농포</t>
  </si>
  <si>
    <t>신경마비 증상</t>
  </si>
  <si>
    <t>간경변 증상</t>
  </si>
  <si>
    <t>C-19</t>
  </si>
  <si>
    <t>환경 중의 가스를 조절함으로써 채소와 과일의 변질을 억제하는 방법은?</t>
  </si>
  <si>
    <t>변형공기포장</t>
  </si>
  <si>
    <t>무균포장</t>
  </si>
  <si>
    <t>상업적 살균</t>
  </si>
  <si>
    <t>통조림</t>
  </si>
  <si>
    <t>C-20</t>
  </si>
  <si>
    <t>쥐나 곤충류에 의해서 발생될 수 있는 식중독은?</t>
  </si>
  <si>
    <t>살모넬라 식중독</t>
  </si>
  <si>
    <t>클로스트리디움 볼툴리늄 식중독</t>
  </si>
  <si>
    <t>포도상구균 식중독</t>
  </si>
  <si>
    <t>장염 비브리오 식중독</t>
  </si>
  <si>
    <t>C-21</t>
  </si>
  <si>
    <t>도넛 제조 시 수분이 적을 때 나타나는 결점이 아닌 것은?</t>
  </si>
  <si>
    <t>팽창이 부족하다.</t>
  </si>
  <si>
    <t>혹이 튀어 나온다.</t>
  </si>
  <si>
    <t>형태가 일정하지 않다.</t>
  </si>
  <si>
    <t>표면이 갈라진다.</t>
  </si>
  <si>
    <t>C-22</t>
  </si>
  <si>
    <t>파운드케이크의 팬닝은 틀 높이의 몇 % 정도까지 반죽을 채우는 것이 가장 적당한가?</t>
  </si>
  <si>
    <t>C-23</t>
  </si>
  <si>
    <t>쿠키의 제조 방법에 따른 분류 중 계란흰자와 설탕으로 만든 머랭 쿠키는?</t>
  </si>
  <si>
    <t>짜서 성형하는 쿠키</t>
  </si>
  <si>
    <t>밀어 펴서 성형하는 쿠키</t>
  </si>
  <si>
    <t>프랑스식 쿠키</t>
  </si>
  <si>
    <t>마카롱 쿠키</t>
  </si>
  <si>
    <t>C-24</t>
  </si>
  <si>
    <t>다음 재료들을 동일한 크기의 그릇에 측정하여 중량이 가장 높은 것은?</t>
  </si>
  <si>
    <t>분유</t>
  </si>
  <si>
    <t>쇼트닝</t>
  </si>
  <si>
    <t>분당</t>
  </si>
  <si>
    <t>C-25</t>
  </si>
  <si>
    <t>열원으로 찜(수증기)을 이용했을 때의 주 열전달 방식은?</t>
  </si>
  <si>
    <t>대류</t>
  </si>
  <si>
    <t>전도</t>
  </si>
  <si>
    <t>초음파</t>
  </si>
  <si>
    <t>복사</t>
  </si>
  <si>
    <t>C-26</t>
  </si>
  <si>
    <t>다음 발효 중 일어나는 생화학적 생성 물질이 아닌 것은?</t>
  </si>
  <si>
    <t>덱스트린</t>
  </si>
  <si>
    <t>맥아당</t>
  </si>
  <si>
    <t>포도당</t>
  </si>
  <si>
    <t>이성화당</t>
  </si>
  <si>
    <t>C-27</t>
  </si>
  <si>
    <t>스펀지/도법에서 스펀지 밀가루 사용량을 증가시킬 때 나타나는 결과가 아닌 것은?</t>
  </si>
  <si>
    <t>도 제조시 반죽시간이 길어짐</t>
  </si>
  <si>
    <t>완제품의 부피가 커짐</t>
  </si>
  <si>
    <t>도 발효시간이 짧아짐</t>
  </si>
  <si>
    <t>반죽의 신장성이 좋아짐</t>
  </si>
  <si>
    <t>C-28</t>
  </si>
  <si>
    <t>단과자빵의 껍질에 흰 반점이 생긴 경우 그 원인에 해당되지 않는 것은?</t>
  </si>
  <si>
    <t>반죽온도가 높았다.</t>
  </si>
  <si>
    <t>발효하는 동안 반죽이 식었다.</t>
  </si>
  <si>
    <t>숙성이 덜 된 반죽을 그대로 정형하였다.</t>
  </si>
  <si>
    <t>2차 발효 후 찬 공기를 오래 쐬었다.</t>
  </si>
  <si>
    <t>C-29</t>
  </si>
  <si>
    <t>다음 중 중간발효에 대한 설명으로 옳은 것은?</t>
  </si>
  <si>
    <t>상대습도 85%전후로 시행한다.</t>
  </si>
  <si>
    <t>중간발효 중 습도가 높으면 껍질이 형성되어 빵 속에 단단한 소용돌이가 생성된다.</t>
  </si>
  <si>
    <t>중간발효 온도는 27~29℃가 적당하다.</t>
  </si>
  <si>
    <t>중간발효가 잘되면 글루텐이 잘 발달된다.</t>
  </si>
  <si>
    <t>C-30</t>
  </si>
  <si>
    <t>반죽제조 단계 중 렛다운(Let Down) 상태까지 믹싱하는 제품으로 적당한 것은?</t>
  </si>
  <si>
    <t>옥수수식빵, 밤식빵</t>
  </si>
  <si>
    <t>크림빵, 앙금빵</t>
  </si>
  <si>
    <t>바게트, 프랑스빵</t>
  </si>
  <si>
    <t>잉글리시 머핀, 햄버거빵</t>
  </si>
  <si>
    <t>C-31</t>
  </si>
  <si>
    <t>유지의 기능 중 크림성의 기능은?</t>
  </si>
  <si>
    <t>제품을 부드럽게 한다.</t>
  </si>
  <si>
    <t>산패를 방지한다.</t>
  </si>
  <si>
    <t>밀어 펴지는 성질을 부여한다.</t>
  </si>
  <si>
    <t>공기를 포집하여 부피를 좋게 한다.</t>
  </si>
  <si>
    <t>C-32</t>
  </si>
  <si>
    <t>일반적으로 시유의 수분 함량은?</t>
  </si>
  <si>
    <t>58%정도</t>
  </si>
  <si>
    <t>65%정도</t>
  </si>
  <si>
    <t>88%정도</t>
  </si>
  <si>
    <t>98%정도</t>
  </si>
  <si>
    <t>C-33</t>
  </si>
  <si>
    <t>우유를 ph4.6으로 유지하였을 때, 응고되는 단백질은?</t>
  </si>
  <si>
    <t>카세인(casein)</t>
  </si>
  <si>
    <t>a-락트알부민(lactalbumin)</t>
  </si>
  <si>
    <t>락토글로불린(lactoglobulin)</t>
  </si>
  <si>
    <t>혈청알부민(serum albumin)</t>
  </si>
  <si>
    <t>C-34</t>
  </si>
  <si>
    <t>물의 경도를 높여주는 작용을 하는 재료는?</t>
  </si>
  <si>
    <t>이스트</t>
  </si>
  <si>
    <t>C-35</t>
  </si>
  <si>
    <t>밀가루의 호화가 시작되는 온도를 측정하기에 가장 적합한 것은?</t>
  </si>
  <si>
    <t>레오그래프</t>
  </si>
  <si>
    <t>아밀로그래프</t>
  </si>
  <si>
    <t>믹사트론</t>
  </si>
  <si>
    <t>패리노그래프</t>
  </si>
  <si>
    <t>C-36</t>
  </si>
  <si>
    <t>원인균이 내열성포자를 형성하기 때문에 병든 가축의 사체를 처리할 경우 반드시 소각처리 하여야 하는 인수공통감염병은?</t>
  </si>
  <si>
    <t>탄저병</t>
  </si>
  <si>
    <t>C-37</t>
  </si>
  <si>
    <t>해수세균의 일종으로 식염농도 3%에서 잘 생육하며 어패류를 생식할 경우 중독될 수 있는 균은?</t>
  </si>
  <si>
    <t>장염 비브리오균</t>
  </si>
  <si>
    <t>웰치균</t>
  </si>
  <si>
    <t>C-38</t>
  </si>
  <si>
    <t>다음 중 사용이 허가되지 않은 유해감미료는?</t>
  </si>
  <si>
    <t>사카린(Saccharin)</t>
  </si>
  <si>
    <t>아스파탐(Aspartame)</t>
  </si>
  <si>
    <t>소프비톨(Sorbitol)</t>
  </si>
  <si>
    <t>둘신(Dulcin)</t>
  </si>
  <si>
    <t>C-39</t>
  </si>
  <si>
    <t>미나마타병은 어떤 중금속에 오염된 어패류의 섭취 시 발생되는가?</t>
  </si>
  <si>
    <t>수은</t>
  </si>
  <si>
    <t>카드뮴</t>
  </si>
  <si>
    <t>납</t>
  </si>
  <si>
    <t>아연</t>
  </si>
  <si>
    <t>C-40</t>
  </si>
  <si>
    <t>날짜</t>
  </si>
  <si>
    <t>경과시간</t>
  </si>
  <si>
    <t>과목</t>
  </si>
  <si>
    <t>점수</t>
  </si>
  <si>
    <t>A</t>
  </si>
  <si>
    <t>B</t>
  </si>
  <si>
    <t>C</t>
  </si>
  <si>
    <t>성적번호</t>
  </si>
  <si>
    <t>문제번호</t>
  </si>
  <si>
    <t>선택한 답</t>
  </si>
  <si>
    <t>A-1, A-17, B-5</t>
  </si>
  <si>
    <t>A-17, A-18, A-25, A-34, B-8, B-10</t>
  </si>
  <si>
    <t>A-17, A-28</t>
  </si>
  <si>
    <t>A-25, A-29, C-18</t>
  </si>
  <si>
    <t>A-13, A-14, A-17, A-28</t>
  </si>
  <si>
    <t>A-26, A-27, C-8</t>
  </si>
  <si>
    <t>A-25, 48, B-2, B-3, C-17</t>
  </si>
  <si>
    <t>A-19, A-28, B-19</t>
  </si>
  <si>
    <t>A-35 ,C-8</t>
  </si>
  <si>
    <t>A-16, A-26</t>
  </si>
  <si>
    <t>A-4, A-8, A-9, A-14, A-34, B-18, B-20</t>
  </si>
  <si>
    <t>A-25, A-29</t>
  </si>
  <si>
    <t>A-18, A-24, A-35</t>
  </si>
  <si>
    <t>A-3, A-4, A-5, A-31, C-20</t>
  </si>
  <si>
    <t>A-8, A-9</t>
  </si>
  <si>
    <t>A-6, A-8, A-15, A-18</t>
  </si>
  <si>
    <t>A-4, C-28</t>
  </si>
  <si>
    <t>A-15, A-25, A-34, B-18</t>
  </si>
  <si>
    <t>A-2, A-34, B-2</t>
  </si>
  <si>
    <t>A-22, A-25, C-15</t>
  </si>
  <si>
    <t>A-22, A-24, A-38</t>
  </si>
  <si>
    <t>A-11, A-25</t>
  </si>
  <si>
    <t>A-25, B-2, 48, B-17, C-28</t>
  </si>
  <si>
    <t>A-16, A-25, A-28</t>
  </si>
  <si>
    <t>A-16, A-24 ,A-35</t>
  </si>
  <si>
    <t>제목</t>
  </si>
  <si>
    <t>내용</t>
  </si>
  <si>
    <t>시간</t>
  </si>
  <si>
    <t>답장</t>
  </si>
  <si>
    <t>로스팅 8단계</t>
  </si>
  <si>
    <t>로스팅을 9단계로 어떻게 분류해요?</t>
  </si>
  <si>
    <t>용어 뜻</t>
  </si>
  <si>
    <t>caramely가 뭐에요?</t>
  </si>
  <si>
    <t>갈변반응 용어입니다.</t>
  </si>
  <si>
    <t>댐퍼의 기능</t>
  </si>
  <si>
    <t>일부 로스팅 머신에 댐퍼의 기능이 뭐가 있어요?</t>
  </si>
  <si>
    <t>커피열매 성숙단계</t>
  </si>
  <si>
    <t>커피열매 성숙단계 좀 가르쳐 주세요!</t>
  </si>
  <si>
    <t>커피 로스팅</t>
  </si>
  <si>
    <t>커피 로스팅의 기본적인 세단계에 어떤게 있어요?</t>
  </si>
  <si>
    <t>케이크</t>
  </si>
  <si>
    <t>비용적인 가장 큰 케이크는 뭔가요?</t>
  </si>
  <si>
    <t>알코올</t>
  </si>
  <si>
    <t>글리세롤, 갈락티톨 중 당 알코올이 아닌것은 무엇입니까?</t>
  </si>
  <si>
    <t>클리세롤은 당 알코올이 아닙니다.</t>
  </si>
  <si>
    <t>세균</t>
  </si>
  <si>
    <t>세균이 분비한 독소에 의해 감염을 일으키는게 뭐에요?</t>
  </si>
  <si>
    <t>독소형 세균식중독</t>
  </si>
  <si>
    <t>선생님~</t>
  </si>
  <si>
    <t>잎을 건조시켜 만든 향신료는 무엇인가요?</t>
  </si>
  <si>
    <t>오레가노라는 향신료입니다.</t>
  </si>
  <si>
    <t>구분</t>
  </si>
  <si>
    <t>성별</t>
  </si>
  <si>
    <t>선생님 친절도</t>
  </si>
  <si>
    <t>선생님 교육상태</t>
  </si>
  <si>
    <t>열정</t>
  </si>
  <si>
    <t>응대</t>
  </si>
  <si>
    <t>관리상태</t>
  </si>
  <si>
    <t>문제출제</t>
  </si>
  <si>
    <t>만족도</t>
  </si>
  <si>
    <t>타인 권유 여부</t>
  </si>
  <si>
    <t>응답자1</t>
  </si>
  <si>
    <t>남자</t>
  </si>
  <si>
    <t>응답자2</t>
  </si>
  <si>
    <t>응답자3</t>
  </si>
  <si>
    <t>응답자4</t>
  </si>
  <si>
    <t>응답자5</t>
  </si>
  <si>
    <t>여자</t>
  </si>
  <si>
    <t>응답자6</t>
  </si>
  <si>
    <t>응답자7</t>
  </si>
  <si>
    <t>응답자8</t>
  </si>
  <si>
    <t>응답자9</t>
  </si>
  <si>
    <t>응답자10</t>
  </si>
  <si>
    <t>응답자11</t>
  </si>
  <si>
    <t>응답자12</t>
  </si>
  <si>
    <t>응답자13</t>
  </si>
  <si>
    <t>응답자14</t>
  </si>
  <si>
    <t>응답자15</t>
  </si>
  <si>
    <t>응답자16</t>
  </si>
  <si>
    <t>응답자17</t>
  </si>
  <si>
    <t>응답자18</t>
  </si>
  <si>
    <t>응답자19</t>
  </si>
  <si>
    <t>응답자20</t>
  </si>
  <si>
    <t>응답자21</t>
  </si>
  <si>
    <t>응답자22</t>
  </si>
  <si>
    <t>응답자23</t>
  </si>
  <si>
    <t>응답자24</t>
  </si>
  <si>
    <t>응답자25</t>
  </si>
  <si>
    <t>응답자26</t>
  </si>
  <si>
    <t>응답자27</t>
  </si>
  <si>
    <t>응답자28</t>
  </si>
  <si>
    <t>응답자29</t>
  </si>
  <si>
    <t>응답자30</t>
  </si>
  <si>
    <t>응답자31</t>
  </si>
  <si>
    <t>응답자32</t>
  </si>
  <si>
    <t>응답자33</t>
  </si>
  <si>
    <t>응답자34</t>
  </si>
  <si>
    <t>응답자35</t>
  </si>
  <si>
    <t>응답자36</t>
  </si>
  <si>
    <t>응답자37</t>
  </si>
  <si>
    <t>응답자38</t>
  </si>
  <si>
    <t>응답자39</t>
  </si>
  <si>
    <t>응답자40</t>
  </si>
  <si>
    <t>응답자41</t>
  </si>
  <si>
    <t>응답자42</t>
  </si>
  <si>
    <t>응답자43</t>
  </si>
  <si>
    <t>응답자44</t>
  </si>
  <si>
    <t>응답자45</t>
  </si>
  <si>
    <t>응답자46</t>
  </si>
  <si>
    <t>응답자47</t>
  </si>
  <si>
    <t>응답자48</t>
  </si>
  <si>
    <t>응답자49</t>
  </si>
  <si>
    <t>응답자50</t>
  </si>
  <si>
    <t>응답자51</t>
  </si>
  <si>
    <t>응답자52</t>
  </si>
  <si>
    <t>응답자53</t>
  </si>
  <si>
    <t>응답자54</t>
  </si>
  <si>
    <t>응답자55</t>
  </si>
  <si>
    <t>응답자56</t>
  </si>
  <si>
    <t>응답자57</t>
  </si>
  <si>
    <t>응답자58</t>
  </si>
  <si>
    <t>응답자59</t>
  </si>
  <si>
    <t>응답자60</t>
  </si>
  <si>
    <t>응답자61</t>
  </si>
  <si>
    <t>응답자62</t>
  </si>
  <si>
    <t>응답자63</t>
  </si>
  <si>
    <t>응답자64</t>
  </si>
  <si>
    <t>응답자65</t>
  </si>
  <si>
    <t>응답자66</t>
  </si>
  <si>
    <t>응답자67</t>
  </si>
  <si>
    <t>응답자68</t>
  </si>
  <si>
    <t>응답자69</t>
  </si>
  <si>
    <t>응답자70</t>
  </si>
  <si>
    <t>응답자71</t>
  </si>
  <si>
    <t>응답자72</t>
  </si>
  <si>
    <t>응답자73</t>
  </si>
  <si>
    <t>응답자74</t>
  </si>
  <si>
    <t>응답자75</t>
  </si>
  <si>
    <t>응답자76</t>
  </si>
  <si>
    <t>응답자77</t>
  </si>
  <si>
    <t>응답자78</t>
  </si>
  <si>
    <t>응답자79</t>
  </si>
  <si>
    <t>응답자80</t>
  </si>
  <si>
    <t>응답자81</t>
  </si>
  <si>
    <t>응답자82</t>
  </si>
  <si>
    <t>응답자83</t>
  </si>
  <si>
    <t>응답자84</t>
  </si>
  <si>
    <t>응답자85</t>
  </si>
  <si>
    <t>응답자86</t>
  </si>
  <si>
    <t>응답자87</t>
  </si>
  <si>
    <t>응답자88</t>
  </si>
  <si>
    <t>응답자89</t>
  </si>
  <si>
    <t>응답자90</t>
  </si>
  <si>
    <t>응답자91</t>
  </si>
  <si>
    <t>응답자92</t>
  </si>
  <si>
    <t>응답자93</t>
  </si>
  <si>
    <t>응답자94</t>
  </si>
  <si>
    <t>응답자95</t>
  </si>
  <si>
    <t>응답자96</t>
  </si>
  <si>
    <t>응답자97</t>
  </si>
  <si>
    <t>응답자98</t>
  </si>
  <si>
    <t>응답자99</t>
  </si>
  <si>
    <t>응답자100</t>
  </si>
  <si>
    <t>관리자</t>
    <phoneticPr fontId="2" type="noConversion"/>
  </si>
  <si>
    <t>바리스타</t>
    <phoneticPr fontId="2" type="noConversion"/>
  </si>
  <si>
    <t>제과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</si>
  <si>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</si>
  <si>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</si>
  <si>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</si>
  <si>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제빵</t>
    <phoneticPr fontId="2" type="noConversion"/>
  </si>
  <si>
    <t>정렬</t>
    <phoneticPr fontId="2" type="noConversion"/>
  </si>
  <si>
    <t>결과</t>
    <phoneticPr fontId="2" type="noConversion"/>
  </si>
  <si>
    <t>과목</t>
    <phoneticPr fontId="2" type="noConversion"/>
  </si>
  <si>
    <t>합격</t>
    <phoneticPr fontId="2" type="noConversion"/>
  </si>
  <si>
    <t>불합격</t>
    <phoneticPr fontId="2" type="noConversion"/>
  </si>
  <si>
    <t>반</t>
    <phoneticPr fontId="2" type="noConversion"/>
  </si>
  <si>
    <t>성적번호</t>
    <phoneticPr fontId="2" type="noConversion"/>
  </si>
  <si>
    <t>정답</t>
    <phoneticPr fontId="2" type="noConversion"/>
  </si>
  <si>
    <t>채점</t>
    <phoneticPr fontId="2" type="noConversion"/>
  </si>
  <si>
    <t>정답률</t>
    <phoneticPr fontId="2" type="noConversion"/>
  </si>
  <si>
    <t>번호</t>
    <phoneticPr fontId="2" type="noConversion"/>
  </si>
  <si>
    <t>flag1</t>
    <phoneticPr fontId="2" type="noConversion"/>
  </si>
  <si>
    <t>flag2</t>
    <phoneticPr fontId="2" type="noConversion"/>
  </si>
  <si>
    <t>학생</t>
    <phoneticPr fontId="2" type="noConversion"/>
  </si>
  <si>
    <t>교사</t>
    <phoneticPr fontId="2" type="noConversion"/>
  </si>
  <si>
    <t>고유경</t>
    <phoneticPr fontId="2" type="noConversion"/>
  </si>
  <si>
    <t>student01</t>
    <phoneticPr fontId="2" type="noConversion"/>
  </si>
  <si>
    <t>010301-4******</t>
    <phoneticPr fontId="2" type="noConversion"/>
  </si>
  <si>
    <t>010-4834-7516</t>
    <phoneticPr fontId="2" type="noConversion"/>
  </si>
  <si>
    <t>현재인댁스</t>
    <phoneticPr fontId="2" type="noConversion"/>
  </si>
  <si>
    <t>선택답</t>
    <phoneticPr fontId="2" type="noConversion"/>
  </si>
  <si>
    <t>정답수</t>
    <phoneticPr fontId="2" type="noConversion"/>
  </si>
  <si>
    <t>오답수</t>
    <phoneticPr fontId="2" type="noConversion"/>
  </si>
  <si>
    <t>학번2</t>
  </si>
  <si>
    <t xml:space="preserve"> </t>
    <phoneticPr fontId="2" type="noConversion"/>
  </si>
  <si>
    <t>김진표</t>
    <phoneticPr fontId="2" type="noConversion"/>
  </si>
  <si>
    <t>teacher06</t>
    <phoneticPr fontId="2" type="noConversion"/>
  </si>
  <si>
    <t>teacher06!</t>
    <phoneticPr fontId="2" type="noConversion"/>
  </si>
  <si>
    <t>790220-1******</t>
    <phoneticPr fontId="2" type="noConversion"/>
  </si>
  <si>
    <t>010-7946-8513</t>
    <phoneticPr fontId="2" type="noConversion"/>
  </si>
  <si>
    <t>출제횟수</t>
    <phoneticPr fontId="2" type="noConversion"/>
  </si>
  <si>
    <t>이동훈 선생님</t>
    <phoneticPr fontId="2" type="noConversion"/>
  </si>
  <si>
    <t>총합계</t>
  </si>
  <si>
    <t>전체 응답 빈도</t>
  </si>
  <si>
    <t>응답 빈도</t>
  </si>
  <si>
    <t>전체 비율(%)</t>
  </si>
  <si>
    <t>비율(%)</t>
  </si>
  <si>
    <t>데이터</t>
  </si>
  <si>
    <t>매우 그렇다</t>
  </si>
  <si>
    <t>그런 편이다</t>
  </si>
  <si>
    <t>보통이다</t>
  </si>
  <si>
    <t>그렇지 않다</t>
  </si>
  <si>
    <t>매우 그렇지 않다</t>
  </si>
  <si>
    <t>학번</t>
    <phoneticPr fontId="2" type="noConversion"/>
  </si>
  <si>
    <t>A-8 ,A-30 ,A-35 ,B-19 ,C-1</t>
    <phoneticPr fontId="2" type="noConversion"/>
  </si>
  <si>
    <t>응답자101</t>
  </si>
  <si>
    <t>응답자102</t>
  </si>
  <si>
    <t>응답자103</t>
  </si>
  <si>
    <t/>
  </si>
  <si>
    <t>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</si>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</sst>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28"/>
      <color theme="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21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0" xfId="0" applyFill="1">
      <alignment vertical="center"/>
    </xf>
    <xf numFmtId="0" fontId="1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5" fillId="4" borderId="0" xfId="0" applyFont="1" applyFill="1">
      <alignment vertical="center"/>
    </xf>
    <xf numFmtId="9" fontId="1" fillId="2" borderId="0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Border="1" applyAlignment="1">
      <alignment horizontal="center" vertical="center"/>
    </xf>
    <xf numFmtId="14" fontId="0" fillId="3" borderId="3" xfId="0" applyNumberFormat="1" applyFill="1" applyBorder="1" applyAlignment="1">
      <alignment horizontal="center" vertical="center"/>
    </xf>
  </cellXfs>
  <cellStyles count="1">
    <cellStyle name="표준" xfId="0" builtinId="0"/>
  </cellStyles>
  <dxfs count="8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yyyy/mm/dd\ 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FF0000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26" formatCode="h:mm:ss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/>
      </font>
      <fill>
        <patternFill>
          <bgColor theme="4" tint="0.39994506668294322"/>
        </patternFill>
      </fill>
    </dxf>
    <dxf>
      <numFmt numFmtId="13" formatCode="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3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표 스타일 1" defaultPivotStyle="PivotStyleLight16">
    <tableStyle name="표 스타일 1" pivot="0" count="2">
      <tableStyleElement type="wholeTable" dxfId="79"/>
      <tableStyleElement type="headerRow" dxfId="78"/>
    </tableStyle>
    <tableStyle name="표 스타일 2" pivot="0" count="2">
      <tableStyleElement type="headerRow" dxfId="77"/>
      <tableStyleElement type="secondRowStripe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고유경</a:t>
            </a:r>
            <a:r>
              <a:rPr lang="en-US" altLang="ko-KR"/>
              <a:t>(</a:t>
            </a:r>
            <a:r>
              <a:rPr lang="ko-KR" altLang="en-US"/>
              <a:t>제과</a:t>
            </a:r>
            <a:r>
              <a:rPr lang="en-US" altLang="ko-KR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6E1-4628-B059-92ABDE108A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6E1-4628-B059-92ABDE108AEF}"/>
              </c:ext>
            </c:extLst>
          </c:dPt>
          <c:cat>
            <c:strRef>
              <c:f>성적!$L$1:$M$1</c:f>
              <c:strCache>
                <c:ptCount val="2"/>
                <c:pt idx="0">
                  <c:v>불합격</c:v>
                </c:pt>
                <c:pt idx="1">
                  <c:v>합격</c:v>
                </c:pt>
              </c:strCache>
            </c:strRef>
          </c:cat>
          <c:val>
            <c:numRef>
              <c:f>성적!$L$2:$M$2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3-41A4-A2EE-E1F4442CF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제빵 문제 출제 횟수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자료처리!$B$7</c:f>
              <c:strCache>
                <c:ptCount val="1"/>
                <c:pt idx="0">
                  <c:v>출제횟수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자료처리!$A$8:$A$12</c:f>
              <c:strCache>
                <c:ptCount val="5"/>
                <c:pt idx="0">
                  <c:v>C-1</c:v>
                </c:pt>
                <c:pt idx="1">
                  <c:v>C-4</c:v>
                </c:pt>
                <c:pt idx="2">
                  <c:v>C-2</c:v>
                </c:pt>
                <c:pt idx="3">
                  <c:v>C-25</c:v>
                </c:pt>
                <c:pt idx="4">
                  <c:v>C-19</c:v>
                </c:pt>
              </c:strCache>
            </c:strRef>
          </c:cat>
          <c:val>
            <c:numRef>
              <c:f>자료처리!$B$8:$B$12</c:f>
              <c:numCache>
                <c:formatCode>General</c:formatCode>
                <c:ptCount val="5"/>
                <c:pt idx="0">
                  <c:v>11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E7-4B4C-AD90-C85237D14D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8957272"/>
        <c:axId val="698953336"/>
      </c:barChart>
      <c:lineChart>
        <c:grouping val="standard"/>
        <c:varyColors val="0"/>
        <c:ser>
          <c:idx val="1"/>
          <c:order val="1"/>
          <c:tx>
            <c:strRef>
              <c:f>자료처리!$C$7</c:f>
              <c:strCache>
                <c:ptCount val="1"/>
                <c:pt idx="0">
                  <c:v>정답률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자료처리!$A$8:$A$12</c:f>
              <c:strCache>
                <c:ptCount val="5"/>
                <c:pt idx="0">
                  <c:v>C-1</c:v>
                </c:pt>
                <c:pt idx="1">
                  <c:v>C-4</c:v>
                </c:pt>
                <c:pt idx="2">
                  <c:v>C-2</c:v>
                </c:pt>
                <c:pt idx="3">
                  <c:v>C-25</c:v>
                </c:pt>
                <c:pt idx="4">
                  <c:v>C-19</c:v>
                </c:pt>
              </c:strCache>
            </c:strRef>
          </c:cat>
          <c:val>
            <c:numRef>
              <c:f>자료처리!$C$8:$C$12</c:f>
              <c:numCache>
                <c:formatCode>0%</c:formatCode>
                <c:ptCount val="5"/>
                <c:pt idx="0">
                  <c:v>0.81818181818181823</c:v>
                </c:pt>
                <c:pt idx="1">
                  <c:v>0.6</c:v>
                </c:pt>
                <c:pt idx="2">
                  <c:v>0.77777777777777779</c:v>
                </c:pt>
                <c:pt idx="3">
                  <c:v>0.5714285714285714</c:v>
                </c:pt>
                <c:pt idx="4">
                  <c:v>0.66666666666666663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E7-4B4C-AD90-C85237D14D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9940216"/>
        <c:axId val="699941200"/>
      </c:lineChart>
      <c:catAx>
        <c:axId val="699940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9941200"/>
        <c:crosses val="autoZero"/>
        <c:auto val="1"/>
        <c:lblAlgn val="ctr"/>
        <c:lblOffset val="100"/>
        <c:noMultiLvlLbl val="0"/>
      </c:catAx>
      <c:valAx>
        <c:axId val="69994120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9940216"/>
        <c:crosses val="autoZero"/>
        <c:crossBetween val="between"/>
        <c:majorUnit val="0.2"/>
      </c:valAx>
      <c:valAx>
        <c:axId val="698953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957272"/>
        <c:crosses val="max"/>
        <c:crossBetween val="between"/>
        <c:majorUnit val="2"/>
      </c:valAx>
      <c:catAx>
        <c:axId val="698957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95333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5" fmlaLink="자료처리!$N$1" fmlaRange="자료처리!$J$1:$J$3" noThreeD="1" sel="0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415192</xdr:colOff>
      <xdr:row>6</xdr:row>
      <xdr:rowOff>83038</xdr:rowOff>
    </xdr:to>
    <xdr:sp macro="" textlink="">
      <xdr:nvSpPr>
        <xdr:cNvPr id="2" name="직각 삼각형 1"/>
        <xdr:cNvSpPr/>
      </xdr:nvSpPr>
      <xdr:spPr>
        <a:xfrm rot="10800000" flipH="1">
          <a:off x="0" y="0"/>
          <a:ext cx="5690577" cy="1372576"/>
        </a:xfrm>
        <a:prstGeom prst="rt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1</xdr:col>
      <xdr:colOff>630064</xdr:colOff>
      <xdr:row>1</xdr:row>
      <xdr:rowOff>24336</xdr:rowOff>
    </xdr:from>
    <xdr:ext cx="3580532" cy="937629"/>
    <xdr:sp macro="" textlink="">
      <xdr:nvSpPr>
        <xdr:cNvPr id="4" name="직사각형 3"/>
        <xdr:cNvSpPr/>
      </xdr:nvSpPr>
      <xdr:spPr>
        <a:xfrm>
          <a:off x="1289487" y="239259"/>
          <a:ext cx="358053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ko-KR" sz="5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EDUCATION</a:t>
          </a:r>
        </a:p>
      </xdr:txBody>
    </xdr:sp>
    <xdr:clientData/>
  </xdr:oneCellAnchor>
  <xdr:oneCellAnchor>
    <xdr:from>
      <xdr:col>1</xdr:col>
      <xdr:colOff>102577</xdr:colOff>
      <xdr:row>7</xdr:row>
      <xdr:rowOff>87923</xdr:rowOff>
    </xdr:from>
    <xdr:ext cx="466794" cy="336246"/>
    <xdr:sp macro="" textlink="">
      <xdr:nvSpPr>
        <xdr:cNvPr id="5" name="TextBox 4"/>
        <xdr:cNvSpPr txBox="1"/>
      </xdr:nvSpPr>
      <xdr:spPr>
        <a:xfrm>
          <a:off x="762000" y="1592385"/>
          <a:ext cx="466794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>
              <a:solidFill>
                <a:schemeClr val="bg1"/>
              </a:solidFill>
            </a:rPr>
            <a:t>구분</a:t>
          </a:r>
        </a:p>
      </xdr:txBody>
    </xdr:sp>
    <xdr:clientData/>
  </xdr:oneCellAnchor>
  <xdr:oneCellAnchor>
    <xdr:from>
      <xdr:col>0</xdr:col>
      <xdr:colOff>327269</xdr:colOff>
      <xdr:row>9</xdr:row>
      <xdr:rowOff>92197</xdr:rowOff>
    </xdr:from>
    <xdr:ext cx="944489" cy="336246"/>
    <xdr:sp macro="" textlink="">
      <xdr:nvSpPr>
        <xdr:cNvPr id="6" name="TextBox 5"/>
        <xdr:cNvSpPr txBox="1"/>
      </xdr:nvSpPr>
      <xdr:spPr>
        <a:xfrm>
          <a:off x="327269" y="2021010"/>
          <a:ext cx="944489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>
              <a:solidFill>
                <a:schemeClr val="bg1"/>
              </a:solidFill>
            </a:rPr>
            <a:t>아이디</a:t>
          </a:r>
          <a:r>
            <a:rPr lang="en-US" altLang="ko-KR" sz="1100">
              <a:solidFill>
                <a:schemeClr val="bg1"/>
              </a:solidFill>
            </a:rPr>
            <a:t>/</a:t>
          </a:r>
          <a:r>
            <a:rPr lang="ko-KR" altLang="en-US" sz="1100">
              <a:solidFill>
                <a:schemeClr val="bg1"/>
              </a:solidFill>
            </a:rPr>
            <a:t>학번</a:t>
          </a:r>
        </a:p>
      </xdr:txBody>
    </xdr:sp>
    <xdr:clientData/>
  </xdr:oneCellAnchor>
  <xdr:oneCellAnchor>
    <xdr:from>
      <xdr:col>1</xdr:col>
      <xdr:colOff>161192</xdr:colOff>
      <xdr:row>11</xdr:row>
      <xdr:rowOff>124862</xdr:rowOff>
    </xdr:from>
    <xdr:ext cx="383054" cy="264560"/>
    <xdr:sp macro="" textlink="">
      <xdr:nvSpPr>
        <xdr:cNvPr id="7" name="TextBox 6"/>
        <xdr:cNvSpPr txBox="1"/>
      </xdr:nvSpPr>
      <xdr:spPr>
        <a:xfrm>
          <a:off x="820005" y="2482300"/>
          <a:ext cx="38305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>
              <a:solidFill>
                <a:schemeClr val="bg1"/>
              </a:solidFill>
            </a:rPr>
            <a:t>PW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7</xdr:row>
          <xdr:rowOff>66675</xdr:rowOff>
        </xdr:from>
        <xdr:to>
          <xdr:col>5</xdr:col>
          <xdr:colOff>523875</xdr:colOff>
          <xdr:row>9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646906</xdr:colOff>
      <xdr:row>9</xdr:row>
      <xdr:rowOff>55562</xdr:rowOff>
    </xdr:from>
    <xdr:to>
      <xdr:col>5</xdr:col>
      <xdr:colOff>515937</xdr:colOff>
      <xdr:row>10</xdr:row>
      <xdr:rowOff>210344</xdr:rowOff>
    </xdr:to>
    <xdr:grpSp>
      <xdr:nvGrpSpPr>
        <xdr:cNvPr id="9" name="그룹 8"/>
        <xdr:cNvGrpSpPr/>
      </xdr:nvGrpSpPr>
      <xdr:grpSpPr>
        <a:xfrm>
          <a:off x="1301750" y="1930796"/>
          <a:ext cx="2488406" cy="363142"/>
          <a:chOff x="1305719" y="1984375"/>
          <a:chExt cx="2504281" cy="369094"/>
        </a:xfrm>
      </xdr:grpSpPr>
      <xdr:sp macro="" textlink="">
        <xdr:nvSpPr>
          <xdr:cNvPr id="8" name="모서리가 둥근 직사각형 7"/>
          <xdr:cNvSpPr/>
        </xdr:nvSpPr>
        <xdr:spPr>
          <a:xfrm>
            <a:off x="1305719" y="1984375"/>
            <a:ext cx="2504281" cy="369094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TextBox1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343025" y="2004219"/>
                <a:ext cx="2414588" cy="323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646906</xdr:colOff>
      <xdr:row>11</xdr:row>
      <xdr:rowOff>59530</xdr:rowOff>
    </xdr:from>
    <xdr:to>
      <xdr:col>5</xdr:col>
      <xdr:colOff>515937</xdr:colOff>
      <xdr:row>12</xdr:row>
      <xdr:rowOff>214312</xdr:rowOff>
    </xdr:to>
    <xdr:grpSp>
      <xdr:nvGrpSpPr>
        <xdr:cNvPr id="13" name="그룹 12"/>
        <xdr:cNvGrpSpPr/>
      </xdr:nvGrpSpPr>
      <xdr:grpSpPr>
        <a:xfrm>
          <a:off x="1301750" y="2351483"/>
          <a:ext cx="2488406" cy="363142"/>
          <a:chOff x="1305719" y="1984375"/>
          <a:chExt cx="2504281" cy="369094"/>
        </a:xfrm>
      </xdr:grpSpPr>
      <xdr:sp macro="" textlink="">
        <xdr:nvSpPr>
          <xdr:cNvPr id="14" name="모서리가 둥근 직사각형 13"/>
          <xdr:cNvSpPr/>
        </xdr:nvSpPr>
        <xdr:spPr>
          <a:xfrm>
            <a:off x="1305719" y="1984375"/>
            <a:ext cx="2504281" cy="369094"/>
          </a:xfrm>
          <a:prstGeom prst="round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TextBox2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343025" y="2004219"/>
                <a:ext cx="2414588" cy="323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583406</xdr:colOff>
      <xdr:row>7</xdr:row>
      <xdr:rowOff>59531</xdr:rowOff>
    </xdr:from>
    <xdr:to>
      <xdr:col>7</xdr:col>
      <xdr:colOff>623093</xdr:colOff>
      <xdr:row>13</xdr:row>
      <xdr:rowOff>11906</xdr:rowOff>
    </xdr:to>
    <xdr:sp macro="[0]!Sheet1.login_Click" textlink="">
      <xdr:nvSpPr>
        <xdr:cNvPr id="12" name="모서리가 둥근 직사각형 11"/>
        <xdr:cNvSpPr/>
      </xdr:nvSpPr>
      <xdr:spPr>
        <a:xfrm>
          <a:off x="3877469" y="1559719"/>
          <a:ext cx="1357312" cy="1238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로그인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407377</xdr:colOff>
      <xdr:row>6</xdr:row>
      <xdr:rowOff>77176</xdr:rowOff>
    </xdr:to>
    <xdr:sp macro="" textlink="">
      <xdr:nvSpPr>
        <xdr:cNvPr id="2" name="직각 삼각형 1"/>
        <xdr:cNvSpPr/>
      </xdr:nvSpPr>
      <xdr:spPr>
        <a:xfrm rot="10800000" flipH="1">
          <a:off x="0" y="0"/>
          <a:ext cx="5690577" cy="1372576"/>
        </a:xfrm>
        <a:prstGeom prst="rt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</xdr:col>
      <xdr:colOff>76199</xdr:colOff>
      <xdr:row>1</xdr:row>
      <xdr:rowOff>146050</xdr:rowOff>
    </xdr:from>
    <xdr:ext cx="4495801" cy="713209"/>
    <xdr:sp macro="" textlink="자료처리!A5">
      <xdr:nvSpPr>
        <xdr:cNvPr id="3" name="title"/>
        <xdr:cNvSpPr/>
      </xdr:nvSpPr>
      <xdr:spPr>
        <a:xfrm>
          <a:off x="1401416" y="361398"/>
          <a:ext cx="4495801" cy="71320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B1546B62-6F81-45E6-8E26-ADBED7FF8F31}" type="TxLink">
            <a:rPr lang="en-US" altLang="en-US" sz="2800" b="0" i="0" u="none" strike="noStrike" cap="none" spc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맑은 고딕"/>
              <a:ea typeface="맑은 고딕"/>
            </a:rPr>
            <a:pPr algn="ctr"/>
            <a:t>이동훈 선생님</a:t>
          </a:fld>
          <a:endParaRPr lang="en-US" altLang="ko-KR" sz="28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0</xdr:col>
      <xdr:colOff>438150</xdr:colOff>
      <xdr:row>1</xdr:row>
      <xdr:rowOff>146050</xdr:rowOff>
    </xdr:from>
    <xdr:to>
      <xdr:col>1</xdr:col>
      <xdr:colOff>472754</xdr:colOff>
      <xdr:row>4</xdr:row>
      <xdr:rowOff>199451</xdr:rowOff>
    </xdr:to>
    <xdr:pic macro="[0]!Sheet2.logout_Click"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361950"/>
          <a:ext cx="695004" cy="701101"/>
        </a:xfrm>
        <a:prstGeom prst="rect">
          <a:avLst/>
        </a:prstGeom>
      </xdr:spPr>
    </xdr:pic>
    <xdr:clientData/>
  </xdr:twoCellAnchor>
  <xdr:oneCellAnchor>
    <xdr:from>
      <xdr:col>10</xdr:col>
      <xdr:colOff>272996</xdr:colOff>
      <xdr:row>1</xdr:row>
      <xdr:rowOff>66344</xdr:rowOff>
    </xdr:from>
    <xdr:ext cx="668516" cy="937629"/>
    <xdr:sp macro="[0]!Sheet2.설문_Click" textlink="">
      <xdr:nvSpPr>
        <xdr:cNvPr id="6" name="설문shp" hidden="1"/>
        <xdr:cNvSpPr/>
      </xdr:nvSpPr>
      <xdr:spPr>
        <a:xfrm>
          <a:off x="6899083" y="281692"/>
          <a:ext cx="668516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ko-KR" sz="5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sym typeface="Wingdings" panose="05000000000000000000" pitchFamily="2" charset="2"/>
            </a:rPr>
            <a:t></a:t>
          </a:r>
          <a:endParaRPr lang="en-US" altLang="ko-KR" sz="54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3</xdr:col>
      <xdr:colOff>646043</xdr:colOff>
      <xdr:row>6</xdr:row>
      <xdr:rowOff>27609</xdr:rowOff>
    </xdr:from>
    <xdr:to>
      <xdr:col>6</xdr:col>
      <xdr:colOff>634999</xdr:colOff>
      <xdr:row>24</xdr:row>
      <xdr:rowOff>44174</xdr:rowOff>
    </xdr:to>
    <xdr:grpSp>
      <xdr:nvGrpSpPr>
        <xdr:cNvPr id="13" name="학생" hidden="1"/>
        <xdr:cNvGrpSpPr/>
      </xdr:nvGrpSpPr>
      <xdr:grpSpPr>
        <a:xfrm>
          <a:off x="2633869" y="1319696"/>
          <a:ext cx="1976782" cy="3892826"/>
          <a:chOff x="2523435" y="1319696"/>
          <a:chExt cx="1976782" cy="3892826"/>
        </a:xfrm>
      </xdr:grpSpPr>
      <xdr:sp macro="[0]!Sheet2.cmd_Click" textlink="">
        <xdr:nvSpPr>
          <xdr:cNvPr id="7" name="모서리가 둥근 직사각형 6" hidden="1"/>
          <xdr:cNvSpPr/>
        </xdr:nvSpPr>
        <xdr:spPr>
          <a:xfrm>
            <a:off x="2523435" y="1319696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정보수정</a:t>
            </a:r>
          </a:p>
        </xdr:txBody>
      </xdr:sp>
      <xdr:sp macro="[0]!Sheet2.cmd_Click" textlink="">
        <xdr:nvSpPr>
          <xdr:cNvPr id="9" name="모서리가 둥근 직사각형 8" hidden="1"/>
          <xdr:cNvSpPr/>
        </xdr:nvSpPr>
        <xdr:spPr>
          <a:xfrm>
            <a:off x="2523435" y="2134153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문제풀기</a:t>
            </a:r>
          </a:p>
        </xdr:txBody>
      </xdr:sp>
      <xdr:sp macro="[0]!Sheet2.cmd_Click" textlink="">
        <xdr:nvSpPr>
          <xdr:cNvPr id="10" name="모서리가 둥근 직사각형 9" hidden="1"/>
          <xdr:cNvSpPr/>
        </xdr:nvSpPr>
        <xdr:spPr>
          <a:xfrm>
            <a:off x="2523435" y="2948609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질문하기</a:t>
            </a:r>
          </a:p>
        </xdr:txBody>
      </xdr:sp>
      <xdr:sp macro="[0]!Sheet2.cmd_Click" textlink="">
        <xdr:nvSpPr>
          <xdr:cNvPr id="11" name="모서리가 둥근 직사각형 10" hidden="1"/>
          <xdr:cNvSpPr/>
        </xdr:nvSpPr>
        <xdr:spPr>
          <a:xfrm>
            <a:off x="2523435" y="3763065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성적보기</a:t>
            </a:r>
            <a:endParaRPr lang="en-US" altLang="ko-KR" sz="1100" b="1"/>
          </a:p>
        </xdr:txBody>
      </xdr:sp>
      <xdr:sp macro="[0]!Sheet2.cmd_Click" textlink="">
        <xdr:nvSpPr>
          <xdr:cNvPr id="12" name="모서리가 둥근 직사각형 11" hidden="1"/>
          <xdr:cNvSpPr/>
        </xdr:nvSpPr>
        <xdr:spPr>
          <a:xfrm>
            <a:off x="2523435" y="4577522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재확인 문제</a:t>
            </a:r>
            <a:endParaRPr lang="en-US" altLang="ko-KR" sz="1100" b="1"/>
          </a:p>
        </xdr:txBody>
      </xdr:sp>
    </xdr:grpSp>
    <xdr:clientData/>
  </xdr:twoCellAnchor>
  <xdr:twoCellAnchor>
    <xdr:from>
      <xdr:col>3</xdr:col>
      <xdr:colOff>646043</xdr:colOff>
      <xdr:row>9</xdr:row>
      <xdr:rowOff>196023</xdr:rowOff>
    </xdr:from>
    <xdr:to>
      <xdr:col>6</xdr:col>
      <xdr:colOff>634999</xdr:colOff>
      <xdr:row>20</xdr:row>
      <xdr:rowOff>91108</xdr:rowOff>
    </xdr:to>
    <xdr:grpSp>
      <xdr:nvGrpSpPr>
        <xdr:cNvPr id="21" name="교사"/>
        <xdr:cNvGrpSpPr/>
      </xdr:nvGrpSpPr>
      <xdr:grpSpPr>
        <a:xfrm>
          <a:off x="2633869" y="2134153"/>
          <a:ext cx="1976782" cy="2263912"/>
          <a:chOff x="2523435" y="2134153"/>
          <a:chExt cx="1976782" cy="2263912"/>
        </a:xfrm>
      </xdr:grpSpPr>
      <xdr:sp macro="[0]!Sheet2.cmd_Click" textlink="">
        <xdr:nvSpPr>
          <xdr:cNvPr id="23" name="모서리가 둥근 직사각형 22"/>
          <xdr:cNvSpPr/>
        </xdr:nvSpPr>
        <xdr:spPr>
          <a:xfrm>
            <a:off x="2523435" y="2134153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정보수정</a:t>
            </a:r>
          </a:p>
        </xdr:txBody>
      </xdr:sp>
      <xdr:sp macro="[0]!Sheet2.cmd_Click" textlink="">
        <xdr:nvSpPr>
          <xdr:cNvPr id="24" name="모서리가 둥근 직사각형 23"/>
          <xdr:cNvSpPr/>
        </xdr:nvSpPr>
        <xdr:spPr>
          <a:xfrm>
            <a:off x="2523435" y="2948609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질문답변</a:t>
            </a:r>
          </a:p>
        </xdr:txBody>
      </xdr:sp>
      <xdr:sp macro="[0]!Sheet2.cmd_Click" textlink="">
        <xdr:nvSpPr>
          <xdr:cNvPr id="25" name="모서리가 둥근 직사각형 24"/>
          <xdr:cNvSpPr/>
        </xdr:nvSpPr>
        <xdr:spPr>
          <a:xfrm>
            <a:off x="2523435" y="3763065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성적관리</a:t>
            </a:r>
            <a:endParaRPr lang="en-US" altLang="ko-KR" sz="1100" b="1"/>
          </a:p>
        </xdr:txBody>
      </xdr:sp>
    </xdr:grpSp>
    <xdr:clientData/>
  </xdr:twoCellAnchor>
  <xdr:twoCellAnchor>
    <xdr:from>
      <xdr:col>3</xdr:col>
      <xdr:colOff>646043</xdr:colOff>
      <xdr:row>6</xdr:row>
      <xdr:rowOff>27609</xdr:rowOff>
    </xdr:from>
    <xdr:to>
      <xdr:col>6</xdr:col>
      <xdr:colOff>634999</xdr:colOff>
      <xdr:row>20</xdr:row>
      <xdr:rowOff>91108</xdr:rowOff>
    </xdr:to>
    <xdr:grpSp>
      <xdr:nvGrpSpPr>
        <xdr:cNvPr id="27" name="관리자" hidden="1"/>
        <xdr:cNvGrpSpPr/>
      </xdr:nvGrpSpPr>
      <xdr:grpSpPr>
        <a:xfrm>
          <a:off x="2633869" y="1319696"/>
          <a:ext cx="1976782" cy="3078369"/>
          <a:chOff x="2523435" y="1319696"/>
          <a:chExt cx="1976782" cy="3078369"/>
        </a:xfrm>
      </xdr:grpSpPr>
      <xdr:sp macro="[0]!Sheet2.cmd_Click" textlink="">
        <xdr:nvSpPr>
          <xdr:cNvPr id="28" name="모서리가 둥근 직사각형 27" hidden="1"/>
          <xdr:cNvSpPr/>
        </xdr:nvSpPr>
        <xdr:spPr>
          <a:xfrm>
            <a:off x="2523435" y="1319696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교사</a:t>
            </a:r>
            <a:r>
              <a:rPr lang="en-US" altLang="ko-KR" sz="1100" b="1"/>
              <a:t>/</a:t>
            </a:r>
            <a:r>
              <a:rPr lang="ko-KR" altLang="en-US" sz="1100" b="1"/>
              <a:t>학생 정보</a:t>
            </a:r>
          </a:p>
        </xdr:txBody>
      </xdr:sp>
      <xdr:sp macro="[0]!Sheet2.cmd_Click" textlink="">
        <xdr:nvSpPr>
          <xdr:cNvPr id="29" name="모서리가 둥근 직사각형 28" hidden="1"/>
          <xdr:cNvSpPr/>
        </xdr:nvSpPr>
        <xdr:spPr>
          <a:xfrm>
            <a:off x="2523435" y="2134153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문제관리</a:t>
            </a:r>
          </a:p>
        </xdr:txBody>
      </xdr:sp>
      <xdr:sp macro="[0]!Sheet2.cmd_Click" textlink="">
        <xdr:nvSpPr>
          <xdr:cNvPr id="30" name="모서리가 둥근 직사각형 29" hidden="1"/>
          <xdr:cNvSpPr/>
        </xdr:nvSpPr>
        <xdr:spPr>
          <a:xfrm>
            <a:off x="2523435" y="2948609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성적관리</a:t>
            </a:r>
          </a:p>
        </xdr:txBody>
      </xdr:sp>
      <xdr:sp macro="[0]!Sheet2.cmd_Click" textlink="">
        <xdr:nvSpPr>
          <xdr:cNvPr id="31" name="모서리가 둥근 직사각형 30" hidden="1"/>
          <xdr:cNvSpPr/>
        </xdr:nvSpPr>
        <xdr:spPr>
          <a:xfrm>
            <a:off x="2523435" y="3763065"/>
            <a:ext cx="1976782" cy="635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 b="1"/>
              <a:t>문제분석</a:t>
            </a:r>
            <a:endParaRPr lang="en-US" altLang="ko-KR" sz="1100" b="1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101601</xdr:colOff>
      <xdr:row>0</xdr:row>
      <xdr:rowOff>0</xdr:rowOff>
    </xdr:from>
    <xdr:to>
      <xdr:col>6</xdr:col>
      <xdr:colOff>527051</xdr:colOff>
      <xdr:row>0</xdr:row>
      <xdr:rowOff>422763</xdr:rowOff>
    </xdr:to>
    <xdr:pic macro="[0]!Sheet2.main으로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1" y="0"/>
          <a:ext cx="425450" cy="4227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107950</xdr:colOff>
      <xdr:row>0</xdr:row>
      <xdr:rowOff>0</xdr:rowOff>
    </xdr:from>
    <xdr:to>
      <xdr:col>5</xdr:col>
      <xdr:colOff>533400</xdr:colOff>
      <xdr:row>0</xdr:row>
      <xdr:rowOff>422763</xdr:rowOff>
    </xdr:to>
    <xdr:pic macro="[0]!Sheet2.main으로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4650" y="0"/>
          <a:ext cx="425450" cy="4227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76200</xdr:colOff>
      <xdr:row>0</xdr:row>
      <xdr:rowOff>0</xdr:rowOff>
    </xdr:from>
    <xdr:to>
      <xdr:col>11</xdr:col>
      <xdr:colOff>501650</xdr:colOff>
      <xdr:row>0</xdr:row>
      <xdr:rowOff>422763</xdr:rowOff>
    </xdr:to>
    <xdr:pic macro="[0]!Sheet2.main으로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9000" y="0"/>
          <a:ext cx="425450" cy="4227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63500</xdr:colOff>
      <xdr:row>0</xdr:row>
      <xdr:rowOff>12700</xdr:rowOff>
    </xdr:from>
    <xdr:to>
      <xdr:col>7</xdr:col>
      <xdr:colOff>488950</xdr:colOff>
      <xdr:row>1</xdr:row>
      <xdr:rowOff>16363</xdr:rowOff>
    </xdr:to>
    <xdr:pic macro="[0]!Sheet2.main으로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1050" y="12700"/>
          <a:ext cx="425450" cy="422763"/>
        </a:xfrm>
        <a:prstGeom prst="rect">
          <a:avLst/>
        </a:prstGeom>
      </xdr:spPr>
    </xdr:pic>
    <xdr:clientData/>
  </xdr:twoCellAnchor>
  <xdr:twoCellAnchor editAs="absolute">
    <xdr:from>
      <xdr:col>7</xdr:col>
      <xdr:colOff>235884</xdr:colOff>
      <xdr:row>1</xdr:row>
      <xdr:rowOff>76201</xdr:rowOff>
    </xdr:from>
    <xdr:to>
      <xdr:col>14</xdr:col>
      <xdr:colOff>185084</xdr:colOff>
      <xdr:row>47</xdr:row>
      <xdr:rowOff>54429</xdr:rowOff>
    </xdr:to>
    <xdr:graphicFrame macro="">
      <xdr:nvGraphicFramePr>
        <xdr:cNvPr id="3" name="차트 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165100</xdr:colOff>
      <xdr:row>0</xdr:row>
      <xdr:rowOff>0</xdr:rowOff>
    </xdr:from>
    <xdr:to>
      <xdr:col>2</xdr:col>
      <xdr:colOff>590550</xdr:colOff>
      <xdr:row>0</xdr:row>
      <xdr:rowOff>422763</xdr:rowOff>
    </xdr:to>
    <xdr:pic macro="[0]!Sheet2.main으로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7700" y="0"/>
          <a:ext cx="425450" cy="42276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107950</xdr:colOff>
      <xdr:row>0</xdr:row>
      <xdr:rowOff>0</xdr:rowOff>
    </xdr:from>
    <xdr:to>
      <xdr:col>8</xdr:col>
      <xdr:colOff>533400</xdr:colOff>
      <xdr:row>0</xdr:row>
      <xdr:rowOff>422763</xdr:rowOff>
    </xdr:to>
    <xdr:pic macro="[0]!Sheet2.main으로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0"/>
          <a:ext cx="425450" cy="42276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0</xdr:row>
          <xdr:rowOff>66675</xdr:rowOff>
        </xdr:from>
        <xdr:to>
          <xdr:col>11</xdr:col>
          <xdr:colOff>457200</xdr:colOff>
          <xdr:row>0</xdr:row>
          <xdr:rowOff>361950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227714</xdr:colOff>
      <xdr:row>6</xdr:row>
      <xdr:rowOff>177327</xdr:rowOff>
    </xdr:from>
    <xdr:to>
      <xdr:col>11</xdr:col>
      <xdr:colOff>296987</xdr:colOff>
      <xdr:row>20</xdr:row>
      <xdr:rowOff>78036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eko Kim" refreshedDate="44794.881773842593" createdVersion="6" refreshedVersion="6" minRefreshableVersion="3" recordCount="100">
  <cacheSource type="worksheet">
    <worksheetSource name="표8"/>
  </cacheSource>
  <cacheFields count="10">
    <cacheField name="구분" numFmtId="0">
      <sharedItems/>
    </cacheField>
    <cacheField name="성별" numFmtId="0">
      <sharedItems count="2">
        <s v="남자"/>
        <s v="여자"/>
      </sharedItems>
    </cacheField>
    <cacheField name="선생님 친절도" numFmtId="0">
      <sharedItems containsSemiMixedTypes="0" containsString="0" containsNumber="1" containsInteger="1" minValue="1" maxValue="5" count="5">
        <n v="1"/>
        <n v="3"/>
        <n v="2"/>
        <n v="4"/>
        <n v="5"/>
      </sharedItems>
    </cacheField>
    <cacheField name="선생님 교육상태" numFmtId="0">
      <sharedItems containsSemiMixedTypes="0" containsString="0" containsNumber="1" containsInteger="1" minValue="1" maxValue="5" count="5">
        <n v="4"/>
        <n v="1"/>
        <n v="5"/>
        <n v="3"/>
        <n v="2"/>
      </sharedItems>
    </cacheField>
    <cacheField name="열정" numFmtId="0">
      <sharedItems containsSemiMixedTypes="0" containsString="0" containsNumber="1" containsInteger="1" minValue="1" maxValue="5" count="5">
        <n v="2"/>
        <n v="4"/>
        <n v="3"/>
        <n v="5"/>
        <n v="1"/>
      </sharedItems>
    </cacheField>
    <cacheField name="응대" numFmtId="0">
      <sharedItems containsSemiMixedTypes="0" containsString="0" containsNumber="1" containsInteger="1" minValue="1" maxValue="5" count="5">
        <n v="5"/>
        <n v="1"/>
        <n v="4"/>
        <n v="3"/>
        <n v="2"/>
      </sharedItems>
    </cacheField>
    <cacheField name="관리상태" numFmtId="0">
      <sharedItems containsSemiMixedTypes="0" containsString="0" containsNumber="1" containsInteger="1" minValue="1" maxValue="5" count="5">
        <n v="1"/>
        <n v="4"/>
        <n v="3"/>
        <n v="2"/>
        <n v="5"/>
      </sharedItems>
    </cacheField>
    <cacheField name="문제출제" numFmtId="0">
      <sharedItems containsSemiMixedTypes="0" containsString="0" containsNumber="1" containsInteger="1" minValue="1" maxValue="5" count="5">
        <n v="3"/>
        <n v="5"/>
        <n v="2"/>
        <n v="4"/>
        <n v="1"/>
      </sharedItems>
    </cacheField>
    <cacheField name="만족도" numFmtId="0">
      <sharedItems containsSemiMixedTypes="0" containsString="0" containsNumber="1" containsInteger="1" minValue="1" maxValue="5" count="5">
        <n v="1"/>
        <n v="4"/>
        <n v="3"/>
        <n v="2"/>
        <n v="5"/>
      </sharedItems>
    </cacheField>
    <cacheField name="타인 권유 여부" numFmtId="0">
      <sharedItems containsSemiMixedTypes="0" containsString="0" containsNumber="1" containsInteger="1" minValue="1" maxValue="5" count="5">
        <n v="2"/>
        <n v="4"/>
        <n v="1"/>
        <n v="3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s v="응답자1"/>
    <x v="0"/>
    <x v="0"/>
    <x v="0"/>
    <x v="0"/>
    <x v="0"/>
    <x v="0"/>
    <x v="0"/>
    <x v="0"/>
    <x v="0"/>
  </r>
  <r>
    <s v="응답자2"/>
    <x v="0"/>
    <x v="1"/>
    <x v="1"/>
    <x v="1"/>
    <x v="1"/>
    <x v="1"/>
    <x v="1"/>
    <x v="0"/>
    <x v="1"/>
  </r>
  <r>
    <s v="응답자3"/>
    <x v="0"/>
    <x v="2"/>
    <x v="2"/>
    <x v="2"/>
    <x v="2"/>
    <x v="2"/>
    <x v="1"/>
    <x v="0"/>
    <x v="1"/>
  </r>
  <r>
    <s v="응답자4"/>
    <x v="0"/>
    <x v="3"/>
    <x v="1"/>
    <x v="1"/>
    <x v="3"/>
    <x v="1"/>
    <x v="2"/>
    <x v="1"/>
    <x v="2"/>
  </r>
  <r>
    <s v="응답자5"/>
    <x v="1"/>
    <x v="0"/>
    <x v="3"/>
    <x v="2"/>
    <x v="0"/>
    <x v="3"/>
    <x v="3"/>
    <x v="2"/>
    <x v="2"/>
  </r>
  <r>
    <s v="응답자6"/>
    <x v="1"/>
    <x v="3"/>
    <x v="1"/>
    <x v="3"/>
    <x v="3"/>
    <x v="2"/>
    <x v="3"/>
    <x v="2"/>
    <x v="3"/>
  </r>
  <r>
    <s v="응답자7"/>
    <x v="1"/>
    <x v="2"/>
    <x v="2"/>
    <x v="4"/>
    <x v="4"/>
    <x v="1"/>
    <x v="4"/>
    <x v="1"/>
    <x v="0"/>
  </r>
  <r>
    <s v="응답자8"/>
    <x v="1"/>
    <x v="2"/>
    <x v="0"/>
    <x v="4"/>
    <x v="1"/>
    <x v="0"/>
    <x v="4"/>
    <x v="1"/>
    <x v="1"/>
  </r>
  <r>
    <s v="응답자9"/>
    <x v="1"/>
    <x v="3"/>
    <x v="0"/>
    <x v="2"/>
    <x v="2"/>
    <x v="1"/>
    <x v="0"/>
    <x v="1"/>
    <x v="4"/>
  </r>
  <r>
    <s v="응답자10"/>
    <x v="0"/>
    <x v="4"/>
    <x v="0"/>
    <x v="0"/>
    <x v="0"/>
    <x v="2"/>
    <x v="3"/>
    <x v="3"/>
    <x v="2"/>
  </r>
  <r>
    <s v="응답자11"/>
    <x v="0"/>
    <x v="4"/>
    <x v="1"/>
    <x v="0"/>
    <x v="2"/>
    <x v="0"/>
    <x v="2"/>
    <x v="4"/>
    <x v="2"/>
  </r>
  <r>
    <s v="응답자12"/>
    <x v="1"/>
    <x v="1"/>
    <x v="3"/>
    <x v="3"/>
    <x v="1"/>
    <x v="0"/>
    <x v="4"/>
    <x v="3"/>
    <x v="3"/>
  </r>
  <r>
    <s v="응답자13"/>
    <x v="1"/>
    <x v="4"/>
    <x v="1"/>
    <x v="0"/>
    <x v="4"/>
    <x v="4"/>
    <x v="2"/>
    <x v="0"/>
    <x v="3"/>
  </r>
  <r>
    <s v="응답자14"/>
    <x v="0"/>
    <x v="1"/>
    <x v="3"/>
    <x v="3"/>
    <x v="2"/>
    <x v="0"/>
    <x v="0"/>
    <x v="0"/>
    <x v="2"/>
  </r>
  <r>
    <s v="응답자15"/>
    <x v="1"/>
    <x v="4"/>
    <x v="3"/>
    <x v="1"/>
    <x v="0"/>
    <x v="2"/>
    <x v="4"/>
    <x v="0"/>
    <x v="0"/>
  </r>
  <r>
    <s v="응답자16"/>
    <x v="0"/>
    <x v="4"/>
    <x v="4"/>
    <x v="3"/>
    <x v="3"/>
    <x v="1"/>
    <x v="2"/>
    <x v="4"/>
    <x v="4"/>
  </r>
  <r>
    <s v="응답자17"/>
    <x v="1"/>
    <x v="1"/>
    <x v="1"/>
    <x v="3"/>
    <x v="1"/>
    <x v="3"/>
    <x v="2"/>
    <x v="2"/>
    <x v="1"/>
  </r>
  <r>
    <s v="응답자18"/>
    <x v="0"/>
    <x v="0"/>
    <x v="4"/>
    <x v="2"/>
    <x v="3"/>
    <x v="2"/>
    <x v="2"/>
    <x v="3"/>
    <x v="4"/>
  </r>
  <r>
    <s v="응답자19"/>
    <x v="0"/>
    <x v="3"/>
    <x v="0"/>
    <x v="4"/>
    <x v="1"/>
    <x v="1"/>
    <x v="0"/>
    <x v="0"/>
    <x v="0"/>
  </r>
  <r>
    <s v="응답자20"/>
    <x v="0"/>
    <x v="0"/>
    <x v="4"/>
    <x v="3"/>
    <x v="2"/>
    <x v="3"/>
    <x v="3"/>
    <x v="0"/>
    <x v="1"/>
  </r>
  <r>
    <s v="응답자21"/>
    <x v="0"/>
    <x v="4"/>
    <x v="1"/>
    <x v="0"/>
    <x v="4"/>
    <x v="0"/>
    <x v="2"/>
    <x v="4"/>
    <x v="1"/>
  </r>
  <r>
    <s v="응답자22"/>
    <x v="0"/>
    <x v="3"/>
    <x v="4"/>
    <x v="1"/>
    <x v="1"/>
    <x v="1"/>
    <x v="4"/>
    <x v="1"/>
    <x v="1"/>
  </r>
  <r>
    <s v="응답자23"/>
    <x v="0"/>
    <x v="2"/>
    <x v="4"/>
    <x v="1"/>
    <x v="1"/>
    <x v="4"/>
    <x v="4"/>
    <x v="4"/>
    <x v="4"/>
  </r>
  <r>
    <s v="응답자24"/>
    <x v="0"/>
    <x v="2"/>
    <x v="4"/>
    <x v="0"/>
    <x v="3"/>
    <x v="1"/>
    <x v="1"/>
    <x v="4"/>
    <x v="0"/>
  </r>
  <r>
    <s v="응답자25"/>
    <x v="1"/>
    <x v="4"/>
    <x v="1"/>
    <x v="0"/>
    <x v="2"/>
    <x v="3"/>
    <x v="0"/>
    <x v="0"/>
    <x v="3"/>
  </r>
  <r>
    <s v="응답자26"/>
    <x v="1"/>
    <x v="0"/>
    <x v="4"/>
    <x v="0"/>
    <x v="1"/>
    <x v="0"/>
    <x v="0"/>
    <x v="0"/>
    <x v="0"/>
  </r>
  <r>
    <s v="응답자27"/>
    <x v="0"/>
    <x v="4"/>
    <x v="3"/>
    <x v="3"/>
    <x v="3"/>
    <x v="3"/>
    <x v="2"/>
    <x v="4"/>
    <x v="3"/>
  </r>
  <r>
    <s v="응답자28"/>
    <x v="0"/>
    <x v="3"/>
    <x v="3"/>
    <x v="4"/>
    <x v="0"/>
    <x v="3"/>
    <x v="3"/>
    <x v="3"/>
    <x v="2"/>
  </r>
  <r>
    <s v="응답자29"/>
    <x v="1"/>
    <x v="3"/>
    <x v="1"/>
    <x v="1"/>
    <x v="3"/>
    <x v="4"/>
    <x v="2"/>
    <x v="3"/>
    <x v="2"/>
  </r>
  <r>
    <s v="응답자30"/>
    <x v="1"/>
    <x v="3"/>
    <x v="1"/>
    <x v="0"/>
    <x v="0"/>
    <x v="0"/>
    <x v="2"/>
    <x v="1"/>
    <x v="3"/>
  </r>
  <r>
    <s v="응답자31"/>
    <x v="1"/>
    <x v="1"/>
    <x v="1"/>
    <x v="0"/>
    <x v="3"/>
    <x v="4"/>
    <x v="0"/>
    <x v="2"/>
    <x v="4"/>
  </r>
  <r>
    <s v="응답자32"/>
    <x v="0"/>
    <x v="0"/>
    <x v="3"/>
    <x v="4"/>
    <x v="1"/>
    <x v="0"/>
    <x v="2"/>
    <x v="3"/>
    <x v="1"/>
  </r>
  <r>
    <s v="응답자33"/>
    <x v="0"/>
    <x v="1"/>
    <x v="0"/>
    <x v="0"/>
    <x v="2"/>
    <x v="3"/>
    <x v="1"/>
    <x v="1"/>
    <x v="1"/>
  </r>
  <r>
    <s v="응답자34"/>
    <x v="0"/>
    <x v="4"/>
    <x v="0"/>
    <x v="4"/>
    <x v="0"/>
    <x v="0"/>
    <x v="0"/>
    <x v="1"/>
    <x v="2"/>
  </r>
  <r>
    <s v="응답자35"/>
    <x v="0"/>
    <x v="3"/>
    <x v="3"/>
    <x v="3"/>
    <x v="1"/>
    <x v="3"/>
    <x v="1"/>
    <x v="2"/>
    <x v="2"/>
  </r>
  <r>
    <s v="응답자36"/>
    <x v="1"/>
    <x v="2"/>
    <x v="4"/>
    <x v="2"/>
    <x v="3"/>
    <x v="3"/>
    <x v="4"/>
    <x v="2"/>
    <x v="4"/>
  </r>
  <r>
    <s v="응답자37"/>
    <x v="1"/>
    <x v="2"/>
    <x v="4"/>
    <x v="4"/>
    <x v="4"/>
    <x v="4"/>
    <x v="1"/>
    <x v="0"/>
    <x v="0"/>
  </r>
  <r>
    <s v="응답자38"/>
    <x v="0"/>
    <x v="1"/>
    <x v="1"/>
    <x v="2"/>
    <x v="3"/>
    <x v="2"/>
    <x v="0"/>
    <x v="0"/>
    <x v="4"/>
  </r>
  <r>
    <s v="응답자39"/>
    <x v="1"/>
    <x v="3"/>
    <x v="4"/>
    <x v="1"/>
    <x v="3"/>
    <x v="0"/>
    <x v="3"/>
    <x v="2"/>
    <x v="3"/>
  </r>
  <r>
    <s v="응답자40"/>
    <x v="1"/>
    <x v="4"/>
    <x v="4"/>
    <x v="2"/>
    <x v="0"/>
    <x v="4"/>
    <x v="0"/>
    <x v="3"/>
    <x v="4"/>
  </r>
  <r>
    <s v="응답자41"/>
    <x v="1"/>
    <x v="0"/>
    <x v="2"/>
    <x v="3"/>
    <x v="4"/>
    <x v="0"/>
    <x v="1"/>
    <x v="1"/>
    <x v="1"/>
  </r>
  <r>
    <s v="응답자42"/>
    <x v="1"/>
    <x v="1"/>
    <x v="1"/>
    <x v="2"/>
    <x v="4"/>
    <x v="2"/>
    <x v="2"/>
    <x v="3"/>
    <x v="1"/>
  </r>
  <r>
    <s v="응답자43"/>
    <x v="0"/>
    <x v="4"/>
    <x v="0"/>
    <x v="0"/>
    <x v="1"/>
    <x v="3"/>
    <x v="3"/>
    <x v="3"/>
    <x v="3"/>
  </r>
  <r>
    <s v="응답자44"/>
    <x v="0"/>
    <x v="0"/>
    <x v="0"/>
    <x v="1"/>
    <x v="2"/>
    <x v="1"/>
    <x v="2"/>
    <x v="2"/>
    <x v="0"/>
  </r>
  <r>
    <s v="응답자45"/>
    <x v="0"/>
    <x v="3"/>
    <x v="1"/>
    <x v="2"/>
    <x v="3"/>
    <x v="3"/>
    <x v="3"/>
    <x v="3"/>
    <x v="0"/>
  </r>
  <r>
    <s v="응답자46"/>
    <x v="1"/>
    <x v="3"/>
    <x v="1"/>
    <x v="3"/>
    <x v="2"/>
    <x v="4"/>
    <x v="1"/>
    <x v="3"/>
    <x v="2"/>
  </r>
  <r>
    <s v="응답자47"/>
    <x v="1"/>
    <x v="2"/>
    <x v="1"/>
    <x v="3"/>
    <x v="4"/>
    <x v="0"/>
    <x v="2"/>
    <x v="1"/>
    <x v="3"/>
  </r>
  <r>
    <s v="응답자48"/>
    <x v="0"/>
    <x v="0"/>
    <x v="0"/>
    <x v="2"/>
    <x v="4"/>
    <x v="2"/>
    <x v="1"/>
    <x v="4"/>
    <x v="3"/>
  </r>
  <r>
    <s v="응답자49"/>
    <x v="1"/>
    <x v="3"/>
    <x v="1"/>
    <x v="3"/>
    <x v="2"/>
    <x v="4"/>
    <x v="0"/>
    <x v="1"/>
    <x v="3"/>
  </r>
  <r>
    <s v="응답자50"/>
    <x v="0"/>
    <x v="1"/>
    <x v="3"/>
    <x v="0"/>
    <x v="2"/>
    <x v="0"/>
    <x v="1"/>
    <x v="1"/>
    <x v="3"/>
  </r>
  <r>
    <s v="응답자51"/>
    <x v="0"/>
    <x v="4"/>
    <x v="0"/>
    <x v="1"/>
    <x v="1"/>
    <x v="4"/>
    <x v="0"/>
    <x v="3"/>
    <x v="2"/>
  </r>
  <r>
    <s v="응답자52"/>
    <x v="0"/>
    <x v="0"/>
    <x v="3"/>
    <x v="3"/>
    <x v="0"/>
    <x v="4"/>
    <x v="2"/>
    <x v="1"/>
    <x v="3"/>
  </r>
  <r>
    <s v="응답자53"/>
    <x v="0"/>
    <x v="4"/>
    <x v="1"/>
    <x v="1"/>
    <x v="0"/>
    <x v="1"/>
    <x v="1"/>
    <x v="2"/>
    <x v="4"/>
  </r>
  <r>
    <s v="응답자54"/>
    <x v="1"/>
    <x v="0"/>
    <x v="4"/>
    <x v="3"/>
    <x v="2"/>
    <x v="4"/>
    <x v="2"/>
    <x v="0"/>
    <x v="4"/>
  </r>
  <r>
    <s v="응답자55"/>
    <x v="1"/>
    <x v="4"/>
    <x v="0"/>
    <x v="4"/>
    <x v="1"/>
    <x v="1"/>
    <x v="3"/>
    <x v="0"/>
    <x v="0"/>
  </r>
  <r>
    <s v="응답자56"/>
    <x v="1"/>
    <x v="2"/>
    <x v="0"/>
    <x v="3"/>
    <x v="0"/>
    <x v="2"/>
    <x v="2"/>
    <x v="3"/>
    <x v="3"/>
  </r>
  <r>
    <s v="응답자57"/>
    <x v="1"/>
    <x v="3"/>
    <x v="1"/>
    <x v="1"/>
    <x v="1"/>
    <x v="0"/>
    <x v="3"/>
    <x v="4"/>
    <x v="4"/>
  </r>
  <r>
    <s v="응답자58"/>
    <x v="0"/>
    <x v="1"/>
    <x v="4"/>
    <x v="3"/>
    <x v="4"/>
    <x v="3"/>
    <x v="1"/>
    <x v="2"/>
    <x v="2"/>
  </r>
  <r>
    <s v="응답자59"/>
    <x v="0"/>
    <x v="4"/>
    <x v="2"/>
    <x v="4"/>
    <x v="1"/>
    <x v="3"/>
    <x v="1"/>
    <x v="1"/>
    <x v="4"/>
  </r>
  <r>
    <s v="응답자60"/>
    <x v="0"/>
    <x v="0"/>
    <x v="0"/>
    <x v="0"/>
    <x v="1"/>
    <x v="0"/>
    <x v="0"/>
    <x v="2"/>
    <x v="2"/>
  </r>
  <r>
    <s v="응답자61"/>
    <x v="0"/>
    <x v="2"/>
    <x v="4"/>
    <x v="4"/>
    <x v="3"/>
    <x v="0"/>
    <x v="4"/>
    <x v="1"/>
    <x v="0"/>
  </r>
  <r>
    <s v="응답자62"/>
    <x v="1"/>
    <x v="1"/>
    <x v="4"/>
    <x v="3"/>
    <x v="3"/>
    <x v="1"/>
    <x v="3"/>
    <x v="3"/>
    <x v="3"/>
  </r>
  <r>
    <s v="응답자63"/>
    <x v="0"/>
    <x v="4"/>
    <x v="2"/>
    <x v="0"/>
    <x v="0"/>
    <x v="0"/>
    <x v="0"/>
    <x v="0"/>
    <x v="1"/>
  </r>
  <r>
    <s v="응답자64"/>
    <x v="0"/>
    <x v="4"/>
    <x v="1"/>
    <x v="4"/>
    <x v="2"/>
    <x v="3"/>
    <x v="3"/>
    <x v="4"/>
    <x v="0"/>
  </r>
  <r>
    <s v="응답자65"/>
    <x v="1"/>
    <x v="0"/>
    <x v="3"/>
    <x v="1"/>
    <x v="0"/>
    <x v="4"/>
    <x v="3"/>
    <x v="4"/>
    <x v="3"/>
  </r>
  <r>
    <s v="응답자66"/>
    <x v="1"/>
    <x v="0"/>
    <x v="0"/>
    <x v="4"/>
    <x v="3"/>
    <x v="2"/>
    <x v="3"/>
    <x v="1"/>
    <x v="2"/>
  </r>
  <r>
    <s v="응답자67"/>
    <x v="1"/>
    <x v="2"/>
    <x v="0"/>
    <x v="2"/>
    <x v="2"/>
    <x v="1"/>
    <x v="3"/>
    <x v="4"/>
    <x v="4"/>
  </r>
  <r>
    <s v="응답자68"/>
    <x v="1"/>
    <x v="1"/>
    <x v="0"/>
    <x v="2"/>
    <x v="1"/>
    <x v="0"/>
    <x v="2"/>
    <x v="0"/>
    <x v="2"/>
  </r>
  <r>
    <s v="응답자69"/>
    <x v="0"/>
    <x v="0"/>
    <x v="4"/>
    <x v="1"/>
    <x v="4"/>
    <x v="4"/>
    <x v="1"/>
    <x v="0"/>
    <x v="2"/>
  </r>
  <r>
    <s v="응답자70"/>
    <x v="1"/>
    <x v="0"/>
    <x v="3"/>
    <x v="1"/>
    <x v="1"/>
    <x v="3"/>
    <x v="3"/>
    <x v="4"/>
    <x v="0"/>
  </r>
  <r>
    <s v="응답자71"/>
    <x v="0"/>
    <x v="1"/>
    <x v="0"/>
    <x v="4"/>
    <x v="0"/>
    <x v="2"/>
    <x v="3"/>
    <x v="0"/>
    <x v="2"/>
  </r>
  <r>
    <s v="응답자72"/>
    <x v="1"/>
    <x v="0"/>
    <x v="0"/>
    <x v="4"/>
    <x v="2"/>
    <x v="0"/>
    <x v="0"/>
    <x v="0"/>
    <x v="1"/>
  </r>
  <r>
    <s v="응답자73"/>
    <x v="0"/>
    <x v="2"/>
    <x v="4"/>
    <x v="3"/>
    <x v="0"/>
    <x v="2"/>
    <x v="0"/>
    <x v="3"/>
    <x v="3"/>
  </r>
  <r>
    <s v="응답자74"/>
    <x v="0"/>
    <x v="3"/>
    <x v="2"/>
    <x v="2"/>
    <x v="4"/>
    <x v="3"/>
    <x v="3"/>
    <x v="3"/>
    <x v="0"/>
  </r>
  <r>
    <s v="응답자75"/>
    <x v="0"/>
    <x v="3"/>
    <x v="0"/>
    <x v="3"/>
    <x v="2"/>
    <x v="1"/>
    <x v="2"/>
    <x v="2"/>
    <x v="1"/>
  </r>
  <r>
    <s v="응답자76"/>
    <x v="0"/>
    <x v="4"/>
    <x v="0"/>
    <x v="1"/>
    <x v="2"/>
    <x v="0"/>
    <x v="4"/>
    <x v="4"/>
    <x v="2"/>
  </r>
  <r>
    <s v="응답자77"/>
    <x v="1"/>
    <x v="1"/>
    <x v="2"/>
    <x v="0"/>
    <x v="4"/>
    <x v="2"/>
    <x v="4"/>
    <x v="4"/>
    <x v="2"/>
  </r>
  <r>
    <s v="응답자78"/>
    <x v="1"/>
    <x v="2"/>
    <x v="0"/>
    <x v="1"/>
    <x v="1"/>
    <x v="3"/>
    <x v="4"/>
    <x v="2"/>
    <x v="3"/>
  </r>
  <r>
    <s v="응답자79"/>
    <x v="0"/>
    <x v="0"/>
    <x v="3"/>
    <x v="3"/>
    <x v="1"/>
    <x v="4"/>
    <x v="4"/>
    <x v="3"/>
    <x v="0"/>
  </r>
  <r>
    <s v="응답자80"/>
    <x v="0"/>
    <x v="3"/>
    <x v="3"/>
    <x v="0"/>
    <x v="3"/>
    <x v="4"/>
    <x v="0"/>
    <x v="4"/>
    <x v="4"/>
  </r>
  <r>
    <s v="응답자81"/>
    <x v="0"/>
    <x v="3"/>
    <x v="3"/>
    <x v="3"/>
    <x v="2"/>
    <x v="3"/>
    <x v="4"/>
    <x v="4"/>
    <x v="4"/>
  </r>
  <r>
    <s v="응답자82"/>
    <x v="1"/>
    <x v="4"/>
    <x v="0"/>
    <x v="2"/>
    <x v="1"/>
    <x v="0"/>
    <x v="4"/>
    <x v="2"/>
    <x v="1"/>
  </r>
  <r>
    <s v="응답자83"/>
    <x v="0"/>
    <x v="3"/>
    <x v="4"/>
    <x v="2"/>
    <x v="0"/>
    <x v="2"/>
    <x v="3"/>
    <x v="0"/>
    <x v="0"/>
  </r>
  <r>
    <s v="응답자84"/>
    <x v="1"/>
    <x v="2"/>
    <x v="4"/>
    <x v="3"/>
    <x v="1"/>
    <x v="0"/>
    <x v="3"/>
    <x v="3"/>
    <x v="3"/>
  </r>
  <r>
    <s v="응답자85"/>
    <x v="0"/>
    <x v="4"/>
    <x v="1"/>
    <x v="1"/>
    <x v="4"/>
    <x v="1"/>
    <x v="0"/>
    <x v="1"/>
    <x v="3"/>
  </r>
  <r>
    <s v="응답자86"/>
    <x v="1"/>
    <x v="3"/>
    <x v="1"/>
    <x v="0"/>
    <x v="2"/>
    <x v="1"/>
    <x v="2"/>
    <x v="3"/>
    <x v="3"/>
  </r>
  <r>
    <s v="응답자87"/>
    <x v="0"/>
    <x v="2"/>
    <x v="1"/>
    <x v="4"/>
    <x v="1"/>
    <x v="0"/>
    <x v="4"/>
    <x v="0"/>
    <x v="1"/>
  </r>
  <r>
    <s v="응답자88"/>
    <x v="0"/>
    <x v="0"/>
    <x v="1"/>
    <x v="2"/>
    <x v="2"/>
    <x v="2"/>
    <x v="0"/>
    <x v="4"/>
    <x v="1"/>
  </r>
  <r>
    <s v="응답자89"/>
    <x v="1"/>
    <x v="3"/>
    <x v="2"/>
    <x v="3"/>
    <x v="2"/>
    <x v="4"/>
    <x v="2"/>
    <x v="3"/>
    <x v="1"/>
  </r>
  <r>
    <s v="응답자90"/>
    <x v="1"/>
    <x v="4"/>
    <x v="1"/>
    <x v="1"/>
    <x v="0"/>
    <x v="3"/>
    <x v="1"/>
    <x v="3"/>
    <x v="4"/>
  </r>
  <r>
    <s v="응답자91"/>
    <x v="1"/>
    <x v="2"/>
    <x v="1"/>
    <x v="3"/>
    <x v="1"/>
    <x v="0"/>
    <x v="4"/>
    <x v="1"/>
    <x v="4"/>
  </r>
  <r>
    <s v="응답자92"/>
    <x v="1"/>
    <x v="4"/>
    <x v="1"/>
    <x v="1"/>
    <x v="3"/>
    <x v="1"/>
    <x v="3"/>
    <x v="4"/>
    <x v="2"/>
  </r>
  <r>
    <s v="응답자93"/>
    <x v="0"/>
    <x v="0"/>
    <x v="2"/>
    <x v="2"/>
    <x v="2"/>
    <x v="1"/>
    <x v="0"/>
    <x v="3"/>
    <x v="3"/>
  </r>
  <r>
    <s v="응답자94"/>
    <x v="0"/>
    <x v="1"/>
    <x v="1"/>
    <x v="4"/>
    <x v="4"/>
    <x v="3"/>
    <x v="2"/>
    <x v="0"/>
    <x v="0"/>
  </r>
  <r>
    <s v="응답자95"/>
    <x v="0"/>
    <x v="3"/>
    <x v="4"/>
    <x v="2"/>
    <x v="4"/>
    <x v="2"/>
    <x v="0"/>
    <x v="4"/>
    <x v="1"/>
  </r>
  <r>
    <s v="응답자96"/>
    <x v="1"/>
    <x v="0"/>
    <x v="3"/>
    <x v="1"/>
    <x v="0"/>
    <x v="0"/>
    <x v="1"/>
    <x v="2"/>
    <x v="4"/>
  </r>
  <r>
    <s v="응답자97"/>
    <x v="0"/>
    <x v="0"/>
    <x v="0"/>
    <x v="3"/>
    <x v="3"/>
    <x v="3"/>
    <x v="0"/>
    <x v="0"/>
    <x v="1"/>
  </r>
  <r>
    <s v="응답자98"/>
    <x v="0"/>
    <x v="0"/>
    <x v="4"/>
    <x v="3"/>
    <x v="3"/>
    <x v="1"/>
    <x v="4"/>
    <x v="3"/>
    <x v="2"/>
  </r>
  <r>
    <s v="응답자99"/>
    <x v="0"/>
    <x v="2"/>
    <x v="2"/>
    <x v="2"/>
    <x v="0"/>
    <x v="4"/>
    <x v="0"/>
    <x v="1"/>
    <x v="4"/>
  </r>
  <r>
    <s v="응답자100"/>
    <x v="1"/>
    <x v="4"/>
    <x v="2"/>
    <x v="4"/>
    <x v="4"/>
    <x v="1"/>
    <x v="4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8" cacheId="0" applyNumberFormats="0" applyBorderFormats="0" applyFontFormats="0" applyPatternFormats="0" applyAlignmentFormats="0" applyWidthHeightFormats="1" dataCaption="데이터" updatedVersion="6" minRefreshableVersion="3" useAutoFormatting="1" itemPrintTitles="1" createdVersion="6" indent="0" compact="0" outline="1" outlineData="1" compactData="0" multipleFieldFilters="0">
  <location ref="AJ71:AP79" firstHeaderRow="1" firstDataRow="3" firstDataCol="1"/>
  <pivotFields count="10">
    <pivotField dataField="1" compact="0" showAll="0"/>
    <pivotField axis="axisCol" compact="0" showAll="0">
      <items count="3">
        <item x="0"/>
        <item x="1"/>
        <item t="default"/>
      </items>
    </pivotField>
    <pivotField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6">
        <item n="매우 그렇다" x="4"/>
        <item n="그런 편이다" x="1"/>
        <item n="보통이다" x="3"/>
        <item n="그렇지 않다" x="0"/>
        <item n="매우 그렇지 않다" x="2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응답 빈도" fld="0" subtotal="count" baseField="0" baseItem="0"/>
    <dataField name="비율(%)" fld="0" subtotal="count" showDataAs="percentOfTota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6" cacheId="0" applyNumberFormats="0" applyBorderFormats="0" applyFontFormats="0" applyPatternFormats="0" applyAlignmentFormats="0" applyWidthHeightFormats="1" dataCaption="데이터" updatedVersion="6" minRefreshableVersion="3" useAutoFormatting="1" itemPrintTitles="1" createdVersion="6" indent="0" compact="0" outline="1" outlineData="1" compactData="0" multipleFieldFilters="0">
  <location ref="AJ51:AP59" firstHeaderRow="1" firstDataRow="3" firstDataCol="1"/>
  <pivotFields count="10">
    <pivotField dataField="1" compact="0" showAll="0"/>
    <pivotField axis="axisCol" compact="0" showAll="0">
      <items count="3">
        <item x="0"/>
        <item x="1"/>
        <item t="default"/>
      </items>
    </pivotField>
    <pivotField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axis="axisRow" compact="0" showAll="0">
      <items count="6">
        <item n="매우 그렇다" x="1"/>
        <item n="그런 편이다" x="3"/>
        <item n="보통이다" x="0"/>
        <item n="그렇지 않다" x="2"/>
        <item n="매우 그렇지 않다" x="4"/>
        <item t="default"/>
      </items>
    </pivotField>
    <pivotField compact="0" showAll="0"/>
    <pivotField compact="0"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응답 빈도" fld="0" subtotal="count" baseField="0" baseItem="0"/>
    <dataField name="비율(%)" fld="0" subtotal="count" showDataAs="percentOfTota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데이터" updatedVersion="6" minRefreshableVersion="3" useAutoFormatting="1" itemPrintTitles="1" createdVersion="6" indent="0" compact="0" outline="1" outlineData="1" compactData="0" multipleFieldFilters="0">
  <location ref="AJ1:AP9" firstHeaderRow="1" firstDataRow="3" firstDataCol="1"/>
  <pivotFields count="10">
    <pivotField dataField="1" compact="0" showAll="0"/>
    <pivotField axis="axisCol" compact="0" showAll="0">
      <items count="3">
        <item x="0"/>
        <item x="1"/>
        <item t="default"/>
      </items>
    </pivotField>
    <pivotField axis="axisRow" compact="0" showAll="0">
      <items count="6">
        <item n="매우 그렇다" x="4"/>
        <item n="그런 편이다" x="3"/>
        <item n="보통이다" x="1"/>
        <item n="그렇지 않다" x="2"/>
        <item n="매우 그렇지 않다"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응답 빈도" fld="0" subtotal="count" baseField="0" baseItem="0"/>
    <dataField name="비율(%)" fld="0" subtotal="count" showDataAs="percentOfTota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7" cacheId="0" applyNumberFormats="0" applyBorderFormats="0" applyFontFormats="0" applyPatternFormats="0" applyAlignmentFormats="0" applyWidthHeightFormats="1" dataCaption="데이터" updatedVersion="6" minRefreshableVersion="3" useAutoFormatting="1" itemPrintTitles="1" createdVersion="6" indent="0" compact="0" outline="1" outlineData="1" compactData="0" multipleFieldFilters="0">
  <location ref="AJ61:AP69" firstHeaderRow="1" firstDataRow="3" firstDataCol="1"/>
  <pivotFields count="10">
    <pivotField dataField="1" compact="0" showAll="0"/>
    <pivotField axis="axisCol" compact="0" showAll="0">
      <items count="3">
        <item x="0"/>
        <item x="1"/>
        <item t="default"/>
      </items>
    </pivotField>
    <pivotField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6">
        <item n="매우 그렇다" x="4"/>
        <item n="그런 편이다" x="1"/>
        <item n="보통이다" x="2"/>
        <item n="그렇지 않다" x="3"/>
        <item n="매우 그렇지 않다" x="0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응답 빈도" fld="0" subtotal="count" baseField="0" baseItem="0"/>
    <dataField name="비율(%)" fld="0" subtotal="count" showDataAs="percentOfTota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5" cacheId="0" applyNumberFormats="0" applyBorderFormats="0" applyFontFormats="0" applyPatternFormats="0" applyAlignmentFormats="0" applyWidthHeightFormats="1" dataCaption="데이터" updatedVersion="6" minRefreshableVersion="3" useAutoFormatting="1" itemPrintTitles="1" createdVersion="6" indent="0" compact="0" outline="1" outlineData="1" compactData="0" multipleFieldFilters="0">
  <location ref="AJ41:AP49" firstHeaderRow="1" firstDataRow="3" firstDataCol="1"/>
  <pivotFields count="10">
    <pivotField dataField="1" compact="0" showAll="0"/>
    <pivotField axis="axisCol" compact="0" showAll="0">
      <items count="3">
        <item x="0"/>
        <item x="1"/>
        <item t="default"/>
      </items>
    </pivotField>
    <pivotField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axis="axisRow" compact="0" showAll="0">
      <items count="6">
        <item n="매우 그렇다" x="4"/>
        <item n="그런 편이다" x="1"/>
        <item n="보통이다" x="2"/>
        <item n="그렇지 않다" x="3"/>
        <item n="매우 그렇지 않다" x="0"/>
        <item t="default"/>
      </items>
    </pivotField>
    <pivotField compact="0" showAll="0"/>
    <pivotField compact="0" showAll="0"/>
    <pivotField compact="0"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응답 빈도" fld="0" subtotal="count" baseField="0" baseItem="0"/>
    <dataField name="비율(%)" fld="0" subtotal="count" showDataAs="percentOfTota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데이터" updatedVersion="6" minRefreshableVersion="3" useAutoFormatting="1" itemPrintTitles="1" createdVersion="6" indent="0" compact="0" outline="1" outlineData="1" compactData="0" multipleFieldFilters="0">
  <location ref="AJ11:AP19" firstHeaderRow="1" firstDataRow="3" firstDataCol="1"/>
  <pivotFields count="10">
    <pivotField dataField="1" compact="0" showAll="0"/>
    <pivotField axis="axisCol" compact="0" showAll="0">
      <items count="3">
        <item x="0"/>
        <item x="1"/>
        <item t="default"/>
      </items>
    </pivotField>
    <pivotField compact="0" showAll="0">
      <items count="6">
        <item x="4"/>
        <item x="3"/>
        <item x="1"/>
        <item x="2"/>
        <item x="0"/>
        <item t="default"/>
      </items>
    </pivotField>
    <pivotField axis="axisRow" compact="0" showAll="0">
      <items count="6">
        <item n="매우 그렇다" x="2"/>
        <item n="그런 편이다" x="0"/>
        <item n="보통이다" x="3"/>
        <item n="그렇지 않다" x="4"/>
        <item n="매우 그렇지 않다"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응답 빈도" fld="0" subtotal="count" baseField="0" baseItem="0"/>
    <dataField name="비율(%)" fld="0" subtotal="count" showDataAs="percentOfTota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데이터" updatedVersion="6" minRefreshableVersion="3" useAutoFormatting="1" itemPrintTitles="1" createdVersion="6" indent="0" compact="0" outline="1" outlineData="1" compactData="0" multipleFieldFilters="0">
  <location ref="AJ31:AP39" firstHeaderRow="1" firstDataRow="3" firstDataCol="1"/>
  <pivotFields count="10">
    <pivotField dataField="1" compact="0" showAll="0"/>
    <pivotField axis="axisCol" compact="0" showAll="0">
      <items count="3">
        <item x="0"/>
        <item x="1"/>
        <item t="default"/>
      </items>
    </pivotField>
    <pivotField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axis="axisRow" compact="0" showAll="0">
      <items count="6">
        <item n="매우 그렇다" x="0"/>
        <item n="그런 편이다" x="2"/>
        <item n="보통이다" x="3"/>
        <item n="그렇지 않다" x="4"/>
        <item n="매우 그렇지 않다" x="1"/>
        <item t="default"/>
      </items>
    </pivotField>
    <pivotField compact="0" showAll="0"/>
    <pivotField compact="0" showAll="0"/>
    <pivotField compact="0" showAll="0"/>
    <pivotField compact="0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응답 빈도" fld="0" subtotal="count" baseField="0" baseItem="0"/>
    <dataField name="비율(%)" fld="0" subtotal="count" showDataAs="percentOfTota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데이터" updatedVersion="6" minRefreshableVersion="3" useAutoFormatting="1" itemPrintTitles="1" createdVersion="6" indent="0" compact="0" outline="1" outlineData="1" compactData="0" multipleFieldFilters="0">
  <location ref="AJ21:AP29" firstHeaderRow="1" firstDataRow="3" firstDataCol="1"/>
  <pivotFields count="10">
    <pivotField dataField="1" compact="0" showAll="0"/>
    <pivotField axis="axisCol" compact="0" showAll="0">
      <items count="3">
        <item x="0"/>
        <item x="1"/>
        <item t="default"/>
      </items>
    </pivotField>
    <pivotField compact="0" showAll="0">
      <items count="6">
        <item x="4"/>
        <item x="3"/>
        <item x="1"/>
        <item x="2"/>
        <item x="0"/>
        <item t="default"/>
      </items>
    </pivotField>
    <pivotField compact="0" showAll="0"/>
    <pivotField axis="axisRow" compact="0" showAll="0">
      <items count="6">
        <item n="매우 그렇다" x="3"/>
        <item n="그런 편이다" x="1"/>
        <item n="보통이다" x="2"/>
        <item n="그렇지 않다" x="0"/>
        <item n="매우 그렇지 않다"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응답 빈도" fld="0" subtotal="count" baseField="0" baseItem="0"/>
    <dataField name="비율(%)" fld="0" subtotal="count" showDataAs="percentOfTota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F7" totalsRowShown="0" headerRowDxfId="75" dataDxfId="74">
  <autoFilter ref="A1:F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학반" dataDxfId="73"/>
    <tableColumn id="2" name="이름" dataDxfId="72"/>
    <tableColumn id="3" name="ID" dataDxfId="71"/>
    <tableColumn id="4" name="PW" dataDxfId="70"/>
    <tableColumn id="5" name="주민번호" dataDxfId="69"/>
    <tableColumn id="6" name="연락처" dataDxfId="68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E61" totalsRowShown="0" headerRowDxfId="67" dataDxfId="66">
  <autoFilter ref="A1:E6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학번" dataDxfId="65"/>
    <tableColumn id="2" name="이름" dataDxfId="64"/>
    <tableColumn id="3" name="PW" dataDxfId="63"/>
    <tableColumn id="4" name="주민등록번호" dataDxfId="62"/>
    <tableColumn id="5" name="연락처" dataDxfId="61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K120" totalsRowShown="0" headerRowDxfId="59" dataDxfId="58">
  <tableColumns count="11">
    <tableColumn id="1" name="번호" dataDxfId="57"/>
    <tableColumn id="2" name="문제" dataDxfId="56"/>
    <tableColumn id="3" name="보기1" dataDxfId="55"/>
    <tableColumn id="4" name="보기2" dataDxfId="54"/>
    <tableColumn id="5" name="보기3" dataDxfId="53"/>
    <tableColumn id="6" name="보기4" dataDxfId="52"/>
    <tableColumn id="7" name="답" dataDxfId="51"/>
    <tableColumn id="8" name="정렬" dataDxfId="50">
      <calculatedColumnFormula>RAND()</calculatedColumnFormula>
    </tableColumn>
    <tableColumn id="9" name="과목" dataDxfId="49">
      <calculatedColumnFormula>LEFT(표3[[#This Row],[번호]],1)</calculatedColumnFormula>
    </tableColumn>
    <tableColumn id="10" name="출제횟수" dataDxfId="48">
      <calculatedColumnFormula>COUNTIF(문제보기!B:B,표3[[#This Row],[번호]])</calculatedColumnFormula>
    </tableColumn>
    <tableColumn id="11" name="정답률" dataDxfId="47">
      <calculatedColumnFormula>IFERROR(COUNTIFS(문제보기!B:B,표3[[#This Row],[번호]],문제보기!E:E,"O")/표3[[#This Row],[출제횟수]],0)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10" name="표10" displayName="표10" ref="A1:G39" totalsRowShown="0" headerRowDxfId="45" dataDxfId="44" tableBorderDxfId="43">
  <tableColumns count="7">
    <tableColumn id="1" name="학번" dataDxfId="42"/>
    <tableColumn id="2" name="날짜" dataDxfId="41"/>
    <tableColumn id="3" name="경과시간" dataDxfId="40"/>
    <tableColumn id="4" name="과목" dataDxfId="39"/>
    <tableColumn id="5" name="점수" dataDxfId="38"/>
    <tableColumn id="6" name="결과" dataDxfId="37">
      <calculatedColumnFormula>IF(성적!$E2&gt;=60,"합격", "불합격")</calculatedColumnFormula>
    </tableColumn>
    <tableColumn id="7" name="반" dataDxfId="36">
      <calculatedColumnFormula>LEFT(성적!$A2,3)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4:E384" totalsRowShown="0" headerRowDxfId="34" dataDxfId="33">
  <tableColumns count="5">
    <tableColumn id="1" name="성적번호" dataDxfId="32"/>
    <tableColumn id="2" name="문제번호" dataDxfId="31"/>
    <tableColumn id="3" name="선택한 답" dataDxfId="30"/>
    <tableColumn id="4" name="정답" dataDxfId="29"/>
    <tableColumn id="5" name="채점" dataDxfId="28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6" name="표6" displayName="표6" ref="A1:B61" totalsRowShown="0" headerRowDxfId="27" dataDxfId="26">
  <autoFilter ref="A1:B61">
    <filterColumn colId="0" hiddenButton="1"/>
    <filterColumn colId="1" hiddenButton="1"/>
  </autoFilter>
  <tableColumns count="2">
    <tableColumn id="1" name="학번" dataDxfId="25"/>
    <tableColumn id="2" name="문제번호" dataDxfId="24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7" name="표7" displayName="표7" ref="A1:H10" totalsRowShown="0" headerRowDxfId="21" dataDxfId="20">
  <autoFilter ref="A1:H1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8">
    <tableColumn id="1" name="번호" dataDxfId="19"/>
    <tableColumn id="2" name="학번" dataDxfId="18"/>
    <tableColumn id="3" name="제목" dataDxfId="17"/>
    <tableColumn id="4" name="내용" dataDxfId="16"/>
    <tableColumn id="5" name="시간" dataDxfId="15"/>
    <tableColumn id="6" name="답장" dataDxfId="14"/>
    <tableColumn id="7" name="flag1" dataDxfId="13">
      <calculatedColumnFormula>LEFT(표7[[#This Row],[학번]],3) = 번호&amp;""</calculatedColumnFormula>
    </tableColumn>
    <tableColumn id="8" name="flag2" dataDxfId="12">
      <calculatedColumnFormula>표7[[#This Row],[학번]]&amp;""=번호&amp;""</calculatedColumnFormula>
    </tableColumn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id="8" name="표8" displayName="표8" ref="A1:J104" totalsRowShown="0" headerRowDxfId="11" dataDxfId="10">
  <autoFilter ref="A1:J10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구분" dataDxfId="9"/>
    <tableColumn id="2" name="성별" dataDxfId="8"/>
    <tableColumn id="3" name="선생님 친절도" dataDxfId="7"/>
    <tableColumn id="4" name="선생님 교육상태" dataDxfId="6"/>
    <tableColumn id="5" name="열정" dataDxfId="5"/>
    <tableColumn id="6" name="응대" dataDxfId="4"/>
    <tableColumn id="7" name="관리상태" dataDxfId="3"/>
    <tableColumn id="8" name="문제출제" dataDxfId="2"/>
    <tableColumn id="9" name="만족도" dataDxfId="1"/>
    <tableColumn id="10" name="타인 권유 여부" dataDxfId="0"/>
  </tableColumns>
  <tableStyleInfo name="표 스타일 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Relationship Id="rId5" Type="http://schemas.openxmlformats.org/officeDocument/2006/relationships/table" Target="../tables/table8.xml"/><Relationship Id="rId4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160" zoomScaleNormal="160" workbookViewId="0">
      <selection activeCell="L5" sqref="L5"/>
    </sheetView>
  </sheetViews>
  <sheetFormatPr defaultColWidth="8.625" defaultRowHeight="16.5" x14ac:dyDescent="0.3"/>
  <cols>
    <col min="1" max="16384" width="8.625" style="1"/>
  </cols>
  <sheetData/>
  <sheetProtection sheet="1" objects="1" scenarios="1" selectLockedCells="1"/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extBox2">
          <controlPr defaultSize="0" autoLine="0" r:id="rId4">
            <anchor moveWithCells="1">
              <from>
                <xdr:col>2</xdr:col>
                <xdr:colOff>28575</xdr:colOff>
                <xdr:row>11</xdr:row>
                <xdr:rowOff>76200</xdr:rowOff>
              </from>
              <to>
                <xdr:col>5</xdr:col>
                <xdr:colOff>466725</xdr:colOff>
                <xdr:row>12</xdr:row>
                <xdr:rowOff>190500</xdr:rowOff>
              </to>
            </anchor>
          </controlPr>
        </control>
      </mc:Choice>
      <mc:Fallback>
        <control shapeId="1028" r:id="rId3" name="TextBox2"/>
      </mc:Fallback>
    </mc:AlternateContent>
    <mc:AlternateContent xmlns:mc="http://schemas.openxmlformats.org/markup-compatibility/2006">
      <mc:Choice Requires="x14">
        <control shapeId="1027" r:id="rId5" name="TextBox1">
          <controlPr defaultSize="0" autoLine="0" r:id="rId6">
            <anchor moveWithCells="1">
              <from>
                <xdr:col>2</xdr:col>
                <xdr:colOff>28575</xdr:colOff>
                <xdr:row>9</xdr:row>
                <xdr:rowOff>76200</xdr:rowOff>
              </from>
              <to>
                <xdr:col>5</xdr:col>
                <xdr:colOff>466725</xdr:colOff>
                <xdr:row>10</xdr:row>
                <xdr:rowOff>180975</xdr:rowOff>
              </to>
            </anchor>
          </controlPr>
        </control>
      </mc:Choice>
      <mc:Fallback>
        <control shapeId="1027" r:id="rId5" name="TextBox1"/>
      </mc:Fallback>
    </mc:AlternateContent>
    <mc:AlternateContent xmlns:mc="http://schemas.openxmlformats.org/markup-compatibility/2006">
      <mc:Choice Requires="x14">
        <control shapeId="1025" r:id="rId7" name="Drop Down 1">
          <controlPr defaultSize="0" autoLine="0" autoPict="0">
            <anchor moveWithCells="1">
              <from>
                <xdr:col>1</xdr:col>
                <xdr:colOff>657225</xdr:colOff>
                <xdr:row>7</xdr:row>
                <xdr:rowOff>66675</xdr:rowOff>
              </from>
              <to>
                <xdr:col>5</xdr:col>
                <xdr:colOff>523875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15" zoomScaleNormal="115" workbookViewId="0">
      <selection activeCell="I12" sqref="I12"/>
    </sheetView>
  </sheetViews>
  <sheetFormatPr defaultColWidth="8.625" defaultRowHeight="16.5" x14ac:dyDescent="0.3"/>
  <cols>
    <col min="1" max="16384" width="8.625" style="1"/>
  </cols>
  <sheetData/>
  <sheetProtection sheet="1" objects="1" scenarios="1" selectLockedCells="1"/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7"/>
  <sheetViews>
    <sheetView workbookViewId="0">
      <pane ySplit="1" topLeftCell="A2" activePane="bottomLeft" state="frozen"/>
      <selection pane="bottomLeft" activeCell="C2" sqref="C2"/>
    </sheetView>
  </sheetViews>
  <sheetFormatPr defaultColWidth="8.625" defaultRowHeight="16.5" x14ac:dyDescent="0.3"/>
  <cols>
    <col min="1" max="1" width="4.875" style="3" bestFit="1" customWidth="1"/>
    <col min="2" max="2" width="6.625" style="3" bestFit="1" customWidth="1"/>
    <col min="3" max="3" width="9.375" style="3" bestFit="1" customWidth="1"/>
    <col min="4" max="4" width="9.875" style="3" bestFit="1" customWidth="1"/>
    <col min="5" max="5" width="13.625" style="3" bestFit="1" customWidth="1"/>
    <col min="6" max="6" width="13.875" style="3" bestFit="1" customWidth="1"/>
    <col min="7" max="16384" width="8.625" style="3"/>
  </cols>
  <sheetData>
    <row r="1" spans="1:6" ht="35.450000000000003" customHeigh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s="3">
        <v>101</v>
      </c>
      <c r="B2" s="3" t="s">
        <v>6</v>
      </c>
      <c r="C2" s="3" t="s">
        <v>7</v>
      </c>
      <c r="D2" s="3" t="s">
        <v>8</v>
      </c>
      <c r="E2" s="3" t="s">
        <v>9</v>
      </c>
      <c r="F2" s="3" t="s">
        <v>10</v>
      </c>
    </row>
    <row r="3" spans="1:6" x14ac:dyDescent="0.3">
      <c r="A3" s="3">
        <v>102</v>
      </c>
      <c r="B3" s="3" t="s">
        <v>11</v>
      </c>
      <c r="C3" s="3" t="s">
        <v>12</v>
      </c>
      <c r="D3" s="3" t="s">
        <v>13</v>
      </c>
      <c r="E3" s="3" t="s">
        <v>14</v>
      </c>
      <c r="F3" s="3" t="s">
        <v>15</v>
      </c>
    </row>
    <row r="4" spans="1:6" x14ac:dyDescent="0.3">
      <c r="A4" s="3">
        <v>201</v>
      </c>
      <c r="B4" s="3" t="s">
        <v>16</v>
      </c>
      <c r="C4" s="3" t="s">
        <v>17</v>
      </c>
      <c r="D4" s="3" t="s">
        <v>18</v>
      </c>
      <c r="E4" s="3" t="s">
        <v>19</v>
      </c>
      <c r="F4" s="3" t="s">
        <v>20</v>
      </c>
    </row>
    <row r="5" spans="1:6" x14ac:dyDescent="0.3">
      <c r="A5" s="3">
        <v>202</v>
      </c>
      <c r="B5" s="3" t="s">
        <v>21</v>
      </c>
      <c r="C5" s="3" t="s">
        <v>22</v>
      </c>
      <c r="D5" s="3" t="s">
        <v>23</v>
      </c>
      <c r="E5" s="3" t="s">
        <v>24</v>
      </c>
      <c r="F5" s="3" t="s">
        <v>25</v>
      </c>
    </row>
    <row r="6" spans="1:6" x14ac:dyDescent="0.3">
      <c r="A6" s="3">
        <v>301</v>
      </c>
      <c r="B6" s="3" t="s">
        <v>26</v>
      </c>
      <c r="C6" s="3" t="s">
        <v>27</v>
      </c>
      <c r="D6" s="3" t="s">
        <v>28</v>
      </c>
      <c r="E6" s="3" t="s">
        <v>29</v>
      </c>
      <c r="F6" s="3" t="s">
        <v>30</v>
      </c>
    </row>
    <row r="7" spans="1:6" x14ac:dyDescent="0.3">
      <c r="A7" s="3">
        <v>302</v>
      </c>
      <c r="B7" s="3" t="s">
        <v>1159</v>
      </c>
      <c r="C7" s="3" t="s">
        <v>1160</v>
      </c>
      <c r="D7" s="3" t="s">
        <v>1161</v>
      </c>
      <c r="E7" s="3" t="s">
        <v>1162</v>
      </c>
      <c r="F7" s="3" t="s">
        <v>1163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1"/>
  <sheetViews>
    <sheetView workbookViewId="0">
      <pane ySplit="1" topLeftCell="A2" activePane="bottomLeft" state="frozen"/>
      <selection pane="bottomLeft" activeCell="C2" sqref="C2"/>
    </sheetView>
  </sheetViews>
  <sheetFormatPr defaultRowHeight="16.5" x14ac:dyDescent="0.3"/>
  <cols>
    <col min="3" max="3" width="9.625" bestFit="1" customWidth="1"/>
    <col min="4" max="4" width="13.625" customWidth="1"/>
    <col min="5" max="5" width="13.875" bestFit="1" customWidth="1"/>
    <col min="9" max="11" width="0" hidden="1" customWidth="1"/>
    <col min="12" max="12" width="10.75" hidden="1" customWidth="1"/>
    <col min="13" max="14" width="0" hidden="1" customWidth="1"/>
  </cols>
  <sheetData>
    <row r="1" spans="1:14" ht="33.950000000000003" customHeight="1" x14ac:dyDescent="0.3">
      <c r="A1" s="3" t="s">
        <v>31</v>
      </c>
      <c r="B1" s="3" t="s">
        <v>1</v>
      </c>
      <c r="C1" s="3" t="s">
        <v>3</v>
      </c>
      <c r="D1" s="3" t="s">
        <v>32</v>
      </c>
      <c r="E1" s="3" t="s">
        <v>5</v>
      </c>
      <c r="I1" s="4" t="s">
        <v>31</v>
      </c>
      <c r="L1" s="4" t="s">
        <v>954</v>
      </c>
      <c r="M1" s="4" t="s">
        <v>956</v>
      </c>
      <c r="N1" s="4" t="s">
        <v>957</v>
      </c>
    </row>
    <row r="2" spans="1:14" x14ac:dyDescent="0.3">
      <c r="A2" s="3">
        <v>10101</v>
      </c>
      <c r="B2" s="3" t="s">
        <v>1149</v>
      </c>
      <c r="C2" s="3" t="s">
        <v>1150</v>
      </c>
      <c r="D2" s="3" t="s">
        <v>1151</v>
      </c>
      <c r="E2" s="3" t="s">
        <v>1152</v>
      </c>
      <c r="I2">
        <v>10110</v>
      </c>
      <c r="L2" s="7"/>
      <c r="M2" s="3"/>
      <c r="N2" s="3"/>
    </row>
    <row r="3" spans="1:14" x14ac:dyDescent="0.3">
      <c r="A3" s="3">
        <v>10102</v>
      </c>
      <c r="B3" s="3" t="s">
        <v>33</v>
      </c>
      <c r="C3" s="3" t="s">
        <v>34</v>
      </c>
      <c r="D3" s="3" t="s">
        <v>35</v>
      </c>
      <c r="E3" s="3" t="s">
        <v>36</v>
      </c>
      <c r="L3" s="7"/>
      <c r="M3" s="3"/>
      <c r="N3" s="3"/>
    </row>
    <row r="4" spans="1:14" x14ac:dyDescent="0.3">
      <c r="A4" s="3">
        <v>10103</v>
      </c>
      <c r="B4" s="3" t="s">
        <v>37</v>
      </c>
      <c r="C4" s="3" t="s">
        <v>38</v>
      </c>
      <c r="D4" s="3" t="s">
        <v>39</v>
      </c>
      <c r="E4" s="3" t="s">
        <v>40</v>
      </c>
      <c r="L4" s="7"/>
      <c r="M4" s="3"/>
      <c r="N4" s="3"/>
    </row>
    <row r="5" spans="1:14" x14ac:dyDescent="0.3">
      <c r="A5" s="3">
        <v>10104</v>
      </c>
      <c r="B5" s="3" t="s">
        <v>41</v>
      </c>
      <c r="C5" s="3" t="s">
        <v>42</v>
      </c>
      <c r="D5" s="3" t="s">
        <v>43</v>
      </c>
      <c r="E5" s="3" t="s">
        <v>44</v>
      </c>
      <c r="L5" s="7"/>
      <c r="M5" s="3"/>
      <c r="N5" s="3"/>
    </row>
    <row r="6" spans="1:14" x14ac:dyDescent="0.3">
      <c r="A6" s="3">
        <v>10105</v>
      </c>
      <c r="B6" s="3" t="s">
        <v>45</v>
      </c>
      <c r="C6" s="3" t="s">
        <v>46</v>
      </c>
      <c r="D6" s="3" t="s">
        <v>47</v>
      </c>
      <c r="E6" s="3" t="s">
        <v>48</v>
      </c>
      <c r="L6" s="7"/>
      <c r="M6" s="3"/>
      <c r="N6" s="3"/>
    </row>
    <row r="7" spans="1:14" x14ac:dyDescent="0.3">
      <c r="A7" s="3">
        <v>10106</v>
      </c>
      <c r="B7" s="3" t="s">
        <v>49</v>
      </c>
      <c r="C7" s="3" t="s">
        <v>50</v>
      </c>
      <c r="D7" s="3" t="s">
        <v>51</v>
      </c>
      <c r="E7" s="3" t="s">
        <v>52</v>
      </c>
      <c r="L7" s="7"/>
      <c r="M7" s="3"/>
      <c r="N7" s="3"/>
    </row>
    <row r="8" spans="1:14" x14ac:dyDescent="0.3">
      <c r="A8" s="3">
        <v>10107</v>
      </c>
      <c r="B8" s="3" t="s">
        <v>53</v>
      </c>
      <c r="C8" s="3" t="s">
        <v>54</v>
      </c>
      <c r="D8" s="3" t="s">
        <v>55</v>
      </c>
      <c r="E8" s="3" t="s">
        <v>56</v>
      </c>
      <c r="L8" s="7"/>
      <c r="M8" s="3"/>
      <c r="N8" s="3"/>
    </row>
    <row r="9" spans="1:14" x14ac:dyDescent="0.3">
      <c r="A9" s="3">
        <v>10108</v>
      </c>
      <c r="B9" s="3" t="s">
        <v>57</v>
      </c>
      <c r="C9" s="3" t="s">
        <v>58</v>
      </c>
      <c r="D9" s="3" t="s">
        <v>59</v>
      </c>
      <c r="E9" s="3" t="s">
        <v>60</v>
      </c>
      <c r="L9" s="7"/>
      <c r="M9" s="3"/>
      <c r="N9" s="3"/>
    </row>
    <row r="10" spans="1:14" x14ac:dyDescent="0.3">
      <c r="A10" s="3">
        <v>10109</v>
      </c>
      <c r="B10" s="3" t="s">
        <v>61</v>
      </c>
      <c r="C10" s="3" t="s">
        <v>62</v>
      </c>
      <c r="D10" s="3" t="s">
        <v>63</v>
      </c>
      <c r="E10" s="3" t="s">
        <v>64</v>
      </c>
      <c r="L10" s="7"/>
      <c r="M10" s="3"/>
      <c r="N10" s="3"/>
    </row>
    <row r="11" spans="1:14" x14ac:dyDescent="0.3">
      <c r="A11" s="3">
        <v>10110</v>
      </c>
      <c r="B11" s="3" t="s">
        <v>65</v>
      </c>
      <c r="C11" s="3" t="s">
        <v>66</v>
      </c>
      <c r="D11" s="3" t="s">
        <v>67</v>
      </c>
      <c r="E11" s="3" t="s">
        <v>68</v>
      </c>
      <c r="L11" s="7"/>
      <c r="M11" s="3"/>
      <c r="N11" s="3"/>
    </row>
    <row r="12" spans="1:14" x14ac:dyDescent="0.3">
      <c r="A12" s="3">
        <v>10201</v>
      </c>
      <c r="B12" s="3" t="s">
        <v>69</v>
      </c>
      <c r="C12" s="3" t="s">
        <v>70</v>
      </c>
      <c r="D12" s="3" t="s">
        <v>71</v>
      </c>
      <c r="E12" s="3" t="s">
        <v>72</v>
      </c>
      <c r="L12" s="7"/>
      <c r="M12" s="3"/>
      <c r="N12" s="3"/>
    </row>
    <row r="13" spans="1:14" x14ac:dyDescent="0.3">
      <c r="A13" s="3">
        <v>10202</v>
      </c>
      <c r="B13" s="3" t="s">
        <v>73</v>
      </c>
      <c r="C13" s="3" t="s">
        <v>74</v>
      </c>
      <c r="D13" s="3" t="s">
        <v>75</v>
      </c>
      <c r="E13" s="3" t="s">
        <v>76</v>
      </c>
      <c r="L13" s="7"/>
      <c r="M13" s="3"/>
      <c r="N13" s="3"/>
    </row>
    <row r="14" spans="1:14" x14ac:dyDescent="0.3">
      <c r="A14" s="3">
        <v>10203</v>
      </c>
      <c r="B14" s="3" t="s">
        <v>77</v>
      </c>
      <c r="C14" s="3" t="s">
        <v>78</v>
      </c>
      <c r="D14" s="3" t="s">
        <v>79</v>
      </c>
      <c r="E14" s="3" t="s">
        <v>80</v>
      </c>
      <c r="L14" s="7"/>
      <c r="M14" s="3"/>
      <c r="N14" s="3"/>
    </row>
    <row r="15" spans="1:14" x14ac:dyDescent="0.3">
      <c r="A15" s="3">
        <v>10204</v>
      </c>
      <c r="B15" s="3" t="s">
        <v>81</v>
      </c>
      <c r="C15" s="3" t="s">
        <v>82</v>
      </c>
      <c r="D15" s="3" t="s">
        <v>83</v>
      </c>
      <c r="E15" s="3" t="s">
        <v>84</v>
      </c>
      <c r="L15" s="7"/>
      <c r="M15" s="3"/>
      <c r="N15" s="3"/>
    </row>
    <row r="16" spans="1:14" x14ac:dyDescent="0.3">
      <c r="A16" s="3">
        <v>10205</v>
      </c>
      <c r="B16" s="3" t="s">
        <v>85</v>
      </c>
      <c r="C16" s="3" t="s">
        <v>86</v>
      </c>
      <c r="D16" s="3" t="s">
        <v>87</v>
      </c>
      <c r="E16" s="3" t="s">
        <v>88</v>
      </c>
      <c r="L16" s="7"/>
      <c r="M16" s="3"/>
      <c r="N16" s="3"/>
    </row>
    <row r="17" spans="1:14" x14ac:dyDescent="0.3">
      <c r="A17" s="3">
        <v>10206</v>
      </c>
      <c r="B17" s="3" t="s">
        <v>89</v>
      </c>
      <c r="C17" s="3" t="s">
        <v>90</v>
      </c>
      <c r="D17" s="3" t="s">
        <v>91</v>
      </c>
      <c r="E17" s="3" t="s">
        <v>92</v>
      </c>
      <c r="L17" s="7"/>
      <c r="M17" s="3"/>
      <c r="N17" s="3"/>
    </row>
    <row r="18" spans="1:14" x14ac:dyDescent="0.3">
      <c r="A18" s="3">
        <v>10207</v>
      </c>
      <c r="B18" s="3" t="s">
        <v>93</v>
      </c>
      <c r="C18" s="3" t="s">
        <v>94</v>
      </c>
      <c r="D18" s="3" t="s">
        <v>95</v>
      </c>
      <c r="E18" s="3" t="s">
        <v>96</v>
      </c>
      <c r="L18" s="7"/>
      <c r="M18" s="3"/>
      <c r="N18" s="3"/>
    </row>
    <row r="19" spans="1:14" x14ac:dyDescent="0.3">
      <c r="A19" s="3">
        <v>10208</v>
      </c>
      <c r="B19" s="3" t="s">
        <v>97</v>
      </c>
      <c r="C19" s="3" t="s">
        <v>98</v>
      </c>
      <c r="D19" s="3" t="s">
        <v>99</v>
      </c>
      <c r="E19" s="3" t="s">
        <v>100</v>
      </c>
      <c r="L19" s="7"/>
      <c r="M19" s="3"/>
      <c r="N19" s="3"/>
    </row>
    <row r="20" spans="1:14" x14ac:dyDescent="0.3">
      <c r="A20" s="3">
        <v>10209</v>
      </c>
      <c r="B20" s="3" t="s">
        <v>101</v>
      </c>
      <c r="C20" s="3" t="s">
        <v>102</v>
      </c>
      <c r="D20" s="3" t="s">
        <v>103</v>
      </c>
      <c r="E20" s="3" t="s">
        <v>104</v>
      </c>
      <c r="L20" s="7"/>
      <c r="M20" s="3"/>
      <c r="N20" s="3"/>
    </row>
    <row r="21" spans="1:14" x14ac:dyDescent="0.3">
      <c r="A21" s="3">
        <v>10210</v>
      </c>
      <c r="B21" s="3" t="s">
        <v>105</v>
      </c>
      <c r="C21" s="3" t="s">
        <v>106</v>
      </c>
      <c r="D21" s="3" t="s">
        <v>107</v>
      </c>
      <c r="E21" s="3" t="s">
        <v>108</v>
      </c>
      <c r="L21" s="7"/>
      <c r="M21" s="3"/>
      <c r="N21" s="3"/>
    </row>
    <row r="22" spans="1:14" x14ac:dyDescent="0.3">
      <c r="A22" s="3">
        <v>20101</v>
      </c>
      <c r="B22" s="3" t="s">
        <v>109</v>
      </c>
      <c r="C22" s="3" t="s">
        <v>110</v>
      </c>
      <c r="D22" s="3" t="s">
        <v>111</v>
      </c>
      <c r="E22" s="3" t="s">
        <v>112</v>
      </c>
      <c r="L22" s="7"/>
      <c r="M22" s="3"/>
      <c r="N22" s="3"/>
    </row>
    <row r="23" spans="1:14" x14ac:dyDescent="0.3">
      <c r="A23" s="3">
        <v>20102</v>
      </c>
      <c r="B23" s="3" t="s">
        <v>113</v>
      </c>
      <c r="C23" s="3" t="s">
        <v>114</v>
      </c>
      <c r="D23" s="3" t="s">
        <v>115</v>
      </c>
      <c r="E23" s="3" t="s">
        <v>116</v>
      </c>
      <c r="L23" s="7"/>
      <c r="M23" s="3"/>
      <c r="N23" s="3"/>
    </row>
    <row r="24" spans="1:14" x14ac:dyDescent="0.3">
      <c r="A24" s="3">
        <v>20103</v>
      </c>
      <c r="B24" s="3" t="s">
        <v>117</v>
      </c>
      <c r="C24" s="3" t="s">
        <v>118</v>
      </c>
      <c r="D24" s="3" t="s">
        <v>119</v>
      </c>
      <c r="E24" s="3" t="s">
        <v>120</v>
      </c>
      <c r="L24" s="7"/>
      <c r="M24" s="3"/>
      <c r="N24" s="3"/>
    </row>
    <row r="25" spans="1:14" x14ac:dyDescent="0.3">
      <c r="A25" s="3">
        <v>20104</v>
      </c>
      <c r="B25" s="3" t="s">
        <v>121</v>
      </c>
      <c r="C25" s="3" t="s">
        <v>122</v>
      </c>
      <c r="D25" s="3" t="s">
        <v>123</v>
      </c>
      <c r="E25" s="3" t="s">
        <v>124</v>
      </c>
      <c r="L25" s="7"/>
      <c r="M25" s="3"/>
      <c r="N25" s="3"/>
    </row>
    <row r="26" spans="1:14" x14ac:dyDescent="0.3">
      <c r="A26" s="3">
        <v>20105</v>
      </c>
      <c r="B26" s="3" t="s">
        <v>125</v>
      </c>
      <c r="C26" s="3" t="s">
        <v>126</v>
      </c>
      <c r="D26" s="3" t="s">
        <v>127</v>
      </c>
      <c r="E26" s="3" t="s">
        <v>128</v>
      </c>
      <c r="L26" s="7"/>
      <c r="M26" s="3"/>
      <c r="N26" s="3"/>
    </row>
    <row r="27" spans="1:14" x14ac:dyDescent="0.3">
      <c r="A27" s="3">
        <v>20106</v>
      </c>
      <c r="B27" s="3" t="s">
        <v>129</v>
      </c>
      <c r="C27" s="3" t="s">
        <v>130</v>
      </c>
      <c r="D27" s="3" t="s">
        <v>131</v>
      </c>
      <c r="E27" s="3" t="s">
        <v>132</v>
      </c>
      <c r="L27" s="7"/>
      <c r="M27" s="3"/>
      <c r="N27" s="3"/>
    </row>
    <row r="28" spans="1:14" x14ac:dyDescent="0.3">
      <c r="A28" s="3">
        <v>20107</v>
      </c>
      <c r="B28" s="3" t="s">
        <v>133</v>
      </c>
      <c r="C28" s="3" t="s">
        <v>134</v>
      </c>
      <c r="D28" s="3" t="s">
        <v>135</v>
      </c>
      <c r="E28" s="3" t="s">
        <v>136</v>
      </c>
      <c r="L28" s="7"/>
      <c r="M28" s="3"/>
      <c r="N28" s="3"/>
    </row>
    <row r="29" spans="1:14" x14ac:dyDescent="0.3">
      <c r="A29" s="3">
        <v>20108</v>
      </c>
      <c r="B29" s="3" t="s">
        <v>137</v>
      </c>
      <c r="C29" s="3" t="s">
        <v>138</v>
      </c>
      <c r="D29" s="3" t="s">
        <v>139</v>
      </c>
      <c r="E29" s="3" t="s">
        <v>140</v>
      </c>
      <c r="L29" s="7"/>
      <c r="M29" s="3"/>
      <c r="N29" s="3"/>
    </row>
    <row r="30" spans="1:14" x14ac:dyDescent="0.3">
      <c r="A30" s="3">
        <v>20109</v>
      </c>
      <c r="B30" s="3" t="s">
        <v>141</v>
      </c>
      <c r="C30" s="3" t="s">
        <v>142</v>
      </c>
      <c r="D30" s="3" t="s">
        <v>143</v>
      </c>
      <c r="E30" s="3" t="s">
        <v>144</v>
      </c>
      <c r="L30" s="7"/>
      <c r="M30" s="3"/>
      <c r="N30" s="3"/>
    </row>
    <row r="31" spans="1:14" x14ac:dyDescent="0.3">
      <c r="A31" s="3">
        <v>20110</v>
      </c>
      <c r="B31" s="3" t="s">
        <v>145</v>
      </c>
      <c r="C31" s="3" t="s">
        <v>146</v>
      </c>
      <c r="D31" s="3" t="s">
        <v>147</v>
      </c>
      <c r="E31" s="3" t="s">
        <v>148</v>
      </c>
      <c r="L31" s="7"/>
      <c r="M31" s="3"/>
      <c r="N31" s="3"/>
    </row>
    <row r="32" spans="1:14" x14ac:dyDescent="0.3">
      <c r="A32" s="3">
        <v>20201</v>
      </c>
      <c r="B32" s="3" t="s">
        <v>149</v>
      </c>
      <c r="C32" s="3" t="s">
        <v>150</v>
      </c>
      <c r="D32" s="3" t="s">
        <v>151</v>
      </c>
      <c r="E32" s="3" t="s">
        <v>152</v>
      </c>
      <c r="L32" s="7"/>
      <c r="M32" s="3"/>
      <c r="N32" s="3"/>
    </row>
    <row r="33" spans="1:14" x14ac:dyDescent="0.3">
      <c r="A33" s="3">
        <v>20202</v>
      </c>
      <c r="B33" s="3" t="s">
        <v>153</v>
      </c>
      <c r="C33" s="3" t="s">
        <v>154</v>
      </c>
      <c r="D33" s="3" t="s">
        <v>155</v>
      </c>
      <c r="E33" s="3" t="s">
        <v>156</v>
      </c>
      <c r="L33" s="7"/>
      <c r="M33" s="3"/>
      <c r="N33" s="3"/>
    </row>
    <row r="34" spans="1:14" x14ac:dyDescent="0.3">
      <c r="A34" s="3">
        <v>20203</v>
      </c>
      <c r="B34" s="3" t="s">
        <v>157</v>
      </c>
      <c r="C34" s="3" t="s">
        <v>158</v>
      </c>
      <c r="D34" s="3" t="s">
        <v>159</v>
      </c>
      <c r="E34" s="3" t="s">
        <v>160</v>
      </c>
      <c r="L34" s="7"/>
      <c r="M34" s="3"/>
      <c r="N34" s="3"/>
    </row>
    <row r="35" spans="1:14" x14ac:dyDescent="0.3">
      <c r="A35" s="3">
        <v>20204</v>
      </c>
      <c r="B35" s="3" t="s">
        <v>161</v>
      </c>
      <c r="C35" s="3" t="s">
        <v>162</v>
      </c>
      <c r="D35" s="3" t="s">
        <v>163</v>
      </c>
      <c r="E35" s="3" t="s">
        <v>164</v>
      </c>
      <c r="L35" s="7"/>
      <c r="M35" s="3"/>
      <c r="N35" s="3"/>
    </row>
    <row r="36" spans="1:14" x14ac:dyDescent="0.3">
      <c r="A36" s="3">
        <v>20205</v>
      </c>
      <c r="B36" s="3" t="s">
        <v>165</v>
      </c>
      <c r="C36" s="3" t="s">
        <v>166</v>
      </c>
      <c r="D36" s="3" t="s">
        <v>167</v>
      </c>
      <c r="E36" s="3" t="s">
        <v>168</v>
      </c>
      <c r="L36" s="7"/>
      <c r="M36" s="3"/>
      <c r="N36" s="3"/>
    </row>
    <row r="37" spans="1:14" x14ac:dyDescent="0.3">
      <c r="A37" s="3">
        <v>20206</v>
      </c>
      <c r="B37" s="3" t="s">
        <v>169</v>
      </c>
      <c r="C37" s="3" t="s">
        <v>170</v>
      </c>
      <c r="D37" s="3" t="s">
        <v>171</v>
      </c>
      <c r="E37" s="3" t="s">
        <v>172</v>
      </c>
      <c r="L37" s="7"/>
      <c r="M37" s="3"/>
      <c r="N37" s="3"/>
    </row>
    <row r="38" spans="1:14" x14ac:dyDescent="0.3">
      <c r="A38" s="3">
        <v>20207</v>
      </c>
      <c r="B38" s="3" t="s">
        <v>173</v>
      </c>
      <c r="C38" s="3" t="s">
        <v>174</v>
      </c>
      <c r="D38" s="3" t="s">
        <v>175</v>
      </c>
      <c r="E38" s="3" t="s">
        <v>176</v>
      </c>
      <c r="L38" s="7"/>
      <c r="M38" s="3"/>
      <c r="N38" s="3"/>
    </row>
    <row r="39" spans="1:14" x14ac:dyDescent="0.3">
      <c r="A39" s="3">
        <v>20208</v>
      </c>
      <c r="B39" s="3" t="s">
        <v>177</v>
      </c>
      <c r="C39" s="3" t="s">
        <v>178</v>
      </c>
      <c r="D39" s="3" t="s">
        <v>179</v>
      </c>
      <c r="E39" s="3" t="s">
        <v>180</v>
      </c>
    </row>
    <row r="40" spans="1:14" x14ac:dyDescent="0.3">
      <c r="A40" s="3">
        <v>20209</v>
      </c>
      <c r="B40" s="3" t="s">
        <v>181</v>
      </c>
      <c r="C40" s="3" t="s">
        <v>182</v>
      </c>
      <c r="D40" s="3" t="s">
        <v>183</v>
      </c>
      <c r="E40" s="3" t="s">
        <v>184</v>
      </c>
    </row>
    <row r="41" spans="1:14" x14ac:dyDescent="0.3">
      <c r="A41" s="3">
        <v>20210</v>
      </c>
      <c r="B41" s="3" t="s">
        <v>185</v>
      </c>
      <c r="C41" s="3" t="s">
        <v>186</v>
      </c>
      <c r="D41" s="3" t="s">
        <v>187</v>
      </c>
      <c r="E41" s="3" t="s">
        <v>188</v>
      </c>
    </row>
    <row r="42" spans="1:14" x14ac:dyDescent="0.3">
      <c r="A42" s="3">
        <v>30101</v>
      </c>
      <c r="B42" s="3" t="s">
        <v>189</v>
      </c>
      <c r="C42" s="3" t="s">
        <v>190</v>
      </c>
      <c r="D42" s="3" t="s">
        <v>191</v>
      </c>
      <c r="E42" s="3" t="s">
        <v>192</v>
      </c>
    </row>
    <row r="43" spans="1:14" x14ac:dyDescent="0.3">
      <c r="A43" s="3">
        <v>30102</v>
      </c>
      <c r="B43" s="3" t="s">
        <v>193</v>
      </c>
      <c r="C43" s="3" t="s">
        <v>194</v>
      </c>
      <c r="D43" s="3" t="s">
        <v>195</v>
      </c>
      <c r="E43" s="3" t="s">
        <v>196</v>
      </c>
    </row>
    <row r="44" spans="1:14" x14ac:dyDescent="0.3">
      <c r="A44" s="3">
        <v>30103</v>
      </c>
      <c r="B44" s="3" t="s">
        <v>197</v>
      </c>
      <c r="C44" s="3" t="s">
        <v>198</v>
      </c>
      <c r="D44" s="3" t="s">
        <v>199</v>
      </c>
      <c r="E44" s="3" t="s">
        <v>200</v>
      </c>
    </row>
    <row r="45" spans="1:14" x14ac:dyDescent="0.3">
      <c r="A45" s="3">
        <v>30104</v>
      </c>
      <c r="B45" s="3" t="s">
        <v>125</v>
      </c>
      <c r="C45" s="3" t="s">
        <v>201</v>
      </c>
      <c r="D45" s="3" t="s">
        <v>202</v>
      </c>
      <c r="E45" s="3" t="s">
        <v>203</v>
      </c>
    </row>
    <row r="46" spans="1:14" x14ac:dyDescent="0.3">
      <c r="A46" s="3">
        <v>30105</v>
      </c>
      <c r="B46" s="3" t="s">
        <v>137</v>
      </c>
      <c r="C46" s="3" t="s">
        <v>204</v>
      </c>
      <c r="D46" s="3" t="s">
        <v>205</v>
      </c>
      <c r="E46" s="3" t="s">
        <v>206</v>
      </c>
    </row>
    <row r="47" spans="1:14" x14ac:dyDescent="0.3">
      <c r="A47" s="3">
        <v>30106</v>
      </c>
      <c r="B47" s="3" t="s">
        <v>207</v>
      </c>
      <c r="C47" s="3" t="s">
        <v>208</v>
      </c>
      <c r="D47" s="3" t="s">
        <v>209</v>
      </c>
      <c r="E47" s="3" t="s">
        <v>210</v>
      </c>
    </row>
    <row r="48" spans="1:14" x14ac:dyDescent="0.3">
      <c r="A48" s="3">
        <v>30107</v>
      </c>
      <c r="B48" s="3" t="s">
        <v>211</v>
      </c>
      <c r="C48" s="3" t="s">
        <v>212</v>
      </c>
      <c r="D48" s="3" t="s">
        <v>213</v>
      </c>
      <c r="E48" s="3" t="s">
        <v>214</v>
      </c>
    </row>
    <row r="49" spans="1:5" x14ac:dyDescent="0.3">
      <c r="A49" s="3">
        <v>30108</v>
      </c>
      <c r="B49" s="3" t="s">
        <v>215</v>
      </c>
      <c r="C49" s="3" t="s">
        <v>216</v>
      </c>
      <c r="D49" s="3" t="s">
        <v>217</v>
      </c>
      <c r="E49" s="3" t="s">
        <v>218</v>
      </c>
    </row>
    <row r="50" spans="1:5" x14ac:dyDescent="0.3">
      <c r="A50" s="3">
        <v>30109</v>
      </c>
      <c r="B50" s="3" t="s">
        <v>219</v>
      </c>
      <c r="C50" s="3" t="s">
        <v>220</v>
      </c>
      <c r="D50" s="3" t="s">
        <v>221</v>
      </c>
      <c r="E50" s="3" t="s">
        <v>222</v>
      </c>
    </row>
    <row r="51" spans="1:5" x14ac:dyDescent="0.3">
      <c r="A51" s="3">
        <v>30110</v>
      </c>
      <c r="B51" s="3" t="s">
        <v>223</v>
      </c>
      <c r="C51" s="3" t="s">
        <v>224</v>
      </c>
      <c r="D51" s="3" t="s">
        <v>225</v>
      </c>
      <c r="E51" s="3" t="s">
        <v>226</v>
      </c>
    </row>
    <row r="52" spans="1:5" x14ac:dyDescent="0.3">
      <c r="A52" s="3">
        <v>30201</v>
      </c>
      <c r="B52" s="3" t="s">
        <v>227</v>
      </c>
      <c r="C52" s="3" t="s">
        <v>228</v>
      </c>
      <c r="D52" s="3" t="s">
        <v>229</v>
      </c>
      <c r="E52" s="3" t="s">
        <v>230</v>
      </c>
    </row>
    <row r="53" spans="1:5" x14ac:dyDescent="0.3">
      <c r="A53" s="3">
        <v>30202</v>
      </c>
      <c r="B53" s="3" t="s">
        <v>231</v>
      </c>
      <c r="C53" s="3" t="s">
        <v>232</v>
      </c>
      <c r="D53" s="3" t="s">
        <v>233</v>
      </c>
      <c r="E53" s="3" t="s">
        <v>234</v>
      </c>
    </row>
    <row r="54" spans="1:5" x14ac:dyDescent="0.3">
      <c r="A54" s="3">
        <v>30203</v>
      </c>
      <c r="B54" s="3" t="s">
        <v>235</v>
      </c>
      <c r="C54" s="3" t="s">
        <v>236</v>
      </c>
      <c r="D54" s="3" t="s">
        <v>237</v>
      </c>
      <c r="E54" s="3" t="s">
        <v>238</v>
      </c>
    </row>
    <row r="55" spans="1:5" x14ac:dyDescent="0.3">
      <c r="A55" s="3">
        <v>30204</v>
      </c>
      <c r="B55" s="3" t="s">
        <v>239</v>
      </c>
      <c r="C55" s="3" t="s">
        <v>240</v>
      </c>
      <c r="D55" s="3" t="s">
        <v>241</v>
      </c>
      <c r="E55" s="3" t="s">
        <v>242</v>
      </c>
    </row>
    <row r="56" spans="1:5" x14ac:dyDescent="0.3">
      <c r="A56" s="3">
        <v>30205</v>
      </c>
      <c r="B56" s="3" t="s">
        <v>243</v>
      </c>
      <c r="C56" s="3" t="s">
        <v>244</v>
      </c>
      <c r="D56" s="3" t="s">
        <v>245</v>
      </c>
      <c r="E56" s="3" t="s">
        <v>246</v>
      </c>
    </row>
    <row r="57" spans="1:5" x14ac:dyDescent="0.3">
      <c r="A57" s="3">
        <v>30206</v>
      </c>
      <c r="B57" s="3" t="s">
        <v>247</v>
      </c>
      <c r="C57" s="3" t="s">
        <v>248</v>
      </c>
      <c r="D57" s="3" t="s">
        <v>249</v>
      </c>
      <c r="E57" s="3" t="s">
        <v>250</v>
      </c>
    </row>
    <row r="58" spans="1:5" x14ac:dyDescent="0.3">
      <c r="A58" s="3">
        <v>30207</v>
      </c>
      <c r="B58" s="3" t="s">
        <v>251</v>
      </c>
      <c r="C58" s="3" t="s">
        <v>252</v>
      </c>
      <c r="D58" s="3" t="s">
        <v>253</v>
      </c>
      <c r="E58" s="3" t="s">
        <v>254</v>
      </c>
    </row>
    <row r="59" spans="1:5" x14ac:dyDescent="0.3">
      <c r="A59" s="3">
        <v>30208</v>
      </c>
      <c r="B59" s="3" t="s">
        <v>255</v>
      </c>
      <c r="C59" s="3" t="s">
        <v>256</v>
      </c>
      <c r="D59" s="3" t="s">
        <v>257</v>
      </c>
      <c r="E59" s="3" t="s">
        <v>258</v>
      </c>
    </row>
    <row r="60" spans="1:5" x14ac:dyDescent="0.3">
      <c r="A60" s="3">
        <v>30209</v>
      </c>
      <c r="B60" s="3" t="s">
        <v>259</v>
      </c>
      <c r="C60" s="3" t="s">
        <v>260</v>
      </c>
      <c r="D60" s="3" t="s">
        <v>261</v>
      </c>
      <c r="E60" s="3" t="s">
        <v>262</v>
      </c>
    </row>
    <row r="61" spans="1:5" x14ac:dyDescent="0.3">
      <c r="A61" s="3">
        <v>30210</v>
      </c>
      <c r="B61" s="3" t="s">
        <v>263</v>
      </c>
      <c r="C61" s="3" t="s">
        <v>264</v>
      </c>
      <c r="D61" s="3" t="s">
        <v>265</v>
      </c>
      <c r="E61" s="3" t="s">
        <v>266</v>
      </c>
    </row>
  </sheetData>
  <sortState ref="L1:N1">
    <sortCondition descending="1" ref="L2"/>
  </sortState>
  <phoneticPr fontId="2" type="noConversion"/>
  <dataValidations count="1">
    <dataValidation allowBlank="1" showInputMessage="1" showErrorMessage="1" sqref="B11"/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20"/>
  <sheetViews>
    <sheetView workbookViewId="0">
      <pane ySplit="1" topLeftCell="A38" activePane="bottomLeft" state="frozen"/>
      <selection pane="bottomLeft" activeCell="A41" sqref="A41"/>
    </sheetView>
  </sheetViews>
  <sheetFormatPr defaultRowHeight="16.5" x14ac:dyDescent="0.3"/>
  <cols>
    <col min="8" max="10" width="0" hidden="1" customWidth="1"/>
    <col min="11" max="11" width="0" style="2" hidden="1" customWidth="1"/>
  </cols>
  <sheetData>
    <row r="1" spans="1:11" ht="34.5" customHeight="1" x14ac:dyDescent="0.3">
      <c r="A1" s="3" t="s">
        <v>267</v>
      </c>
      <c r="B1" s="3" t="s">
        <v>268</v>
      </c>
      <c r="C1" s="3" t="s">
        <v>269</v>
      </c>
      <c r="D1" s="3" t="s">
        <v>270</v>
      </c>
      <c r="E1" s="3" t="s">
        <v>271</v>
      </c>
      <c r="F1" s="3" t="s">
        <v>272</v>
      </c>
      <c r="G1" s="3" t="s">
        <v>273</v>
      </c>
      <c r="H1" s="3" t="s">
        <v>1134</v>
      </c>
      <c r="I1" s="3" t="s">
        <v>1136</v>
      </c>
      <c r="J1" s="3" t="s">
        <v>1164</v>
      </c>
      <c r="K1" s="6" t="s">
        <v>1143</v>
      </c>
    </row>
    <row r="2" spans="1:11" x14ac:dyDescent="0.3">
      <c r="A2" s="3" t="s">
        <v>274</v>
      </c>
      <c r="B2" s="3" t="s">
        <v>275</v>
      </c>
      <c r="C2" s="3" t="s">
        <v>276</v>
      </c>
      <c r="D2" s="3" t="s">
        <v>277</v>
      </c>
      <c r="E2" s="3" t="s">
        <v>278</v>
      </c>
      <c r="F2" s="3" t="s">
        <v>279</v>
      </c>
      <c r="G2" s="3">
        <v>2</v>
      </c>
      <c r="H2" s="3">
        <f t="shared" ref="H2:H33" ca="1" si="0">RAND()</f>
        <v>7.8581911229486989E-2</v>
      </c>
      <c r="I2" s="3" t="str">
        <f>LEFT(표3[[#This Row],[번호]],1)</f>
        <v>A</v>
      </c>
      <c r="J2" s="3">
        <f>COUNTIF(문제보기!B:B,표3[[#This Row],[번호]])</f>
        <v>6</v>
      </c>
      <c r="K2" s="6">
        <f>IFERROR(COUNTIFS(문제보기!B:B,표3[[#This Row],[번호]],문제보기!E:E,"O")/표3[[#This Row],[출제횟수]],0)</f>
        <v>0.66666666666666663</v>
      </c>
    </row>
    <row r="3" spans="1:11" x14ac:dyDescent="0.3">
      <c r="A3" s="3" t="s">
        <v>280</v>
      </c>
      <c r="B3" s="3" t="s">
        <v>281</v>
      </c>
      <c r="C3" s="3" t="s">
        <v>282</v>
      </c>
      <c r="D3" s="3" t="s">
        <v>283</v>
      </c>
      <c r="E3" s="3" t="s">
        <v>284</v>
      </c>
      <c r="F3" s="3" t="s">
        <v>285</v>
      </c>
      <c r="G3" s="3">
        <v>3</v>
      </c>
      <c r="H3" s="3">
        <f t="shared" ca="1" si="0"/>
        <v>0.15885392930510756</v>
      </c>
      <c r="I3" s="3" t="str">
        <f>LEFT(표3[[#This Row],[번호]],1)</f>
        <v>A</v>
      </c>
      <c r="J3" s="3">
        <f>COUNTIF(문제보기!B:B,표3[[#This Row],[번호]])</f>
        <v>1</v>
      </c>
      <c r="K3" s="6">
        <f>IFERROR(COUNTIFS(문제보기!B:B,표3[[#This Row],[번호]],문제보기!E:E,"O")/표3[[#This Row],[출제횟수]],0)</f>
        <v>1</v>
      </c>
    </row>
    <row r="4" spans="1:11" x14ac:dyDescent="0.3">
      <c r="A4" s="3" t="s">
        <v>286</v>
      </c>
      <c r="B4" s="3" t="s">
        <v>287</v>
      </c>
      <c r="C4" s="3" t="s">
        <v>288</v>
      </c>
      <c r="D4" s="3" t="s">
        <v>289</v>
      </c>
      <c r="E4" s="3" t="s">
        <v>290</v>
      </c>
      <c r="F4" s="3" t="s">
        <v>291</v>
      </c>
      <c r="G4" s="3">
        <v>2</v>
      </c>
      <c r="H4" s="3">
        <f t="shared" ca="1" si="0"/>
        <v>0.41352740836826862</v>
      </c>
      <c r="I4" s="3" t="str">
        <f>LEFT(표3[[#This Row],[번호]],1)</f>
        <v>A</v>
      </c>
      <c r="J4" s="3">
        <f>COUNTIF(문제보기!B:B,표3[[#This Row],[번호]])</f>
        <v>7</v>
      </c>
      <c r="K4" s="6">
        <f>IFERROR(COUNTIFS(문제보기!B:B,표3[[#This Row],[번호]],문제보기!E:E,"O")/표3[[#This Row],[출제횟수]],0)</f>
        <v>0.8571428571428571</v>
      </c>
    </row>
    <row r="5" spans="1:11" x14ac:dyDescent="0.3">
      <c r="A5" s="3" t="s">
        <v>292</v>
      </c>
      <c r="B5" s="3" t="s">
        <v>293</v>
      </c>
      <c r="C5" s="3" t="s">
        <v>294</v>
      </c>
      <c r="D5" s="3" t="s">
        <v>295</v>
      </c>
      <c r="E5" s="3" t="s">
        <v>296</v>
      </c>
      <c r="F5" s="3" t="s">
        <v>297</v>
      </c>
      <c r="G5" s="3">
        <v>2</v>
      </c>
      <c r="H5" s="3">
        <f t="shared" ca="1" si="0"/>
        <v>0.8249436466240091</v>
      </c>
      <c r="I5" s="3" t="str">
        <f>LEFT(표3[[#This Row],[번호]],1)</f>
        <v>A</v>
      </c>
      <c r="J5" s="3">
        <f>COUNTIF(문제보기!B:B,표3[[#This Row],[번호]])</f>
        <v>4</v>
      </c>
      <c r="K5" s="6">
        <f>IFERROR(COUNTIFS(문제보기!B:B,표3[[#This Row],[번호]],문제보기!E:E,"O")/표3[[#This Row],[출제횟수]],0)</f>
        <v>0.5</v>
      </c>
    </row>
    <row r="6" spans="1:11" x14ac:dyDescent="0.3">
      <c r="A6" s="3" t="s">
        <v>298</v>
      </c>
      <c r="B6" s="3" t="s">
        <v>299</v>
      </c>
      <c r="C6" s="3" t="s">
        <v>300</v>
      </c>
      <c r="D6" s="3" t="s">
        <v>301</v>
      </c>
      <c r="E6" s="3" t="s">
        <v>302</v>
      </c>
      <c r="F6" s="3" t="s">
        <v>303</v>
      </c>
      <c r="G6" s="3">
        <v>4</v>
      </c>
      <c r="H6" s="3">
        <f t="shared" ca="1" si="0"/>
        <v>0.90651102264031602</v>
      </c>
      <c r="I6" s="3" t="str">
        <f>LEFT(표3[[#This Row],[번호]],1)</f>
        <v>A</v>
      </c>
      <c r="J6" s="3">
        <f>COUNTIF(문제보기!B:B,표3[[#This Row],[번호]])</f>
        <v>1</v>
      </c>
      <c r="K6" s="6">
        <f>IFERROR(COUNTIFS(문제보기!B:B,표3[[#This Row],[번호]],문제보기!E:E,"O")/표3[[#This Row],[출제횟수]],0)</f>
        <v>1</v>
      </c>
    </row>
    <row r="7" spans="1:11" x14ac:dyDescent="0.3">
      <c r="A7" s="3" t="s">
        <v>304</v>
      </c>
      <c r="B7" s="3" t="s">
        <v>305</v>
      </c>
      <c r="C7" s="3" t="s">
        <v>306</v>
      </c>
      <c r="D7" s="3" t="s">
        <v>307</v>
      </c>
      <c r="E7" s="3" t="s">
        <v>308</v>
      </c>
      <c r="F7" s="3" t="s">
        <v>309</v>
      </c>
      <c r="G7" s="3">
        <v>1</v>
      </c>
      <c r="H7" s="3">
        <f t="shared" ca="1" si="0"/>
        <v>0.12635926880465731</v>
      </c>
      <c r="I7" s="3" t="str">
        <f>LEFT(표3[[#This Row],[번호]],1)</f>
        <v>A</v>
      </c>
      <c r="J7" s="3">
        <f>COUNTIF(문제보기!B:B,표3[[#This Row],[번호]])</f>
        <v>1</v>
      </c>
      <c r="K7" s="6">
        <f>IFERROR(COUNTIFS(문제보기!B:B,표3[[#This Row],[번호]],문제보기!E:E,"O")/표3[[#This Row],[출제횟수]],0)</f>
        <v>0</v>
      </c>
    </row>
    <row r="8" spans="1:11" x14ac:dyDescent="0.3">
      <c r="A8" s="3" t="s">
        <v>310</v>
      </c>
      <c r="B8" s="3" t="s">
        <v>311</v>
      </c>
      <c r="C8" s="3" t="s">
        <v>312</v>
      </c>
      <c r="D8" s="3" t="s">
        <v>313</v>
      </c>
      <c r="E8" s="3" t="s">
        <v>314</v>
      </c>
      <c r="F8" s="3" t="s">
        <v>315</v>
      </c>
      <c r="G8" s="3">
        <v>2</v>
      </c>
      <c r="H8" s="3">
        <f t="shared" ca="1" si="0"/>
        <v>1.5597964889743632E-2</v>
      </c>
      <c r="I8" s="3" t="str">
        <f>LEFT(표3[[#This Row],[번호]],1)</f>
        <v>A</v>
      </c>
      <c r="J8" s="3">
        <f>COUNTIF(문제보기!B:B,표3[[#This Row],[번호]])</f>
        <v>5</v>
      </c>
      <c r="K8" s="6">
        <f>IFERROR(COUNTIFS(문제보기!B:B,표3[[#This Row],[번호]],문제보기!E:E,"O")/표3[[#This Row],[출제횟수]],0)</f>
        <v>0.8</v>
      </c>
    </row>
    <row r="9" spans="1:11" x14ac:dyDescent="0.3">
      <c r="A9" s="3" t="s">
        <v>316</v>
      </c>
      <c r="B9" s="3" t="s">
        <v>317</v>
      </c>
      <c r="C9" s="3" t="s">
        <v>318</v>
      </c>
      <c r="D9" s="3" t="s">
        <v>319</v>
      </c>
      <c r="E9" s="3" t="s">
        <v>320</v>
      </c>
      <c r="F9" s="3" t="s">
        <v>321</v>
      </c>
      <c r="G9" s="3">
        <v>2</v>
      </c>
      <c r="H9" s="3">
        <f t="shared" ca="1" si="0"/>
        <v>0.73866814286246807</v>
      </c>
      <c r="I9" s="3" t="str">
        <f>LEFT(표3[[#This Row],[번호]],1)</f>
        <v>A</v>
      </c>
      <c r="J9" s="3">
        <f>COUNTIF(문제보기!B:B,표3[[#This Row],[번호]])</f>
        <v>3</v>
      </c>
      <c r="K9" s="6">
        <f>IFERROR(COUNTIFS(문제보기!B:B,표3[[#This Row],[번호]],문제보기!E:E,"O")/표3[[#This Row],[출제횟수]],0)</f>
        <v>0.33333333333333331</v>
      </c>
    </row>
    <row r="10" spans="1:11" x14ac:dyDescent="0.3">
      <c r="A10" s="3" t="s">
        <v>322</v>
      </c>
      <c r="B10" s="3" t="s">
        <v>323</v>
      </c>
      <c r="C10" s="3" t="s">
        <v>324</v>
      </c>
      <c r="D10" s="3" t="s">
        <v>325</v>
      </c>
      <c r="E10" s="3" t="s">
        <v>326</v>
      </c>
      <c r="F10" s="3" t="s">
        <v>327</v>
      </c>
      <c r="G10" s="3">
        <v>1</v>
      </c>
      <c r="H10" s="3">
        <f t="shared" ca="1" si="0"/>
        <v>0.17721822626140848</v>
      </c>
      <c r="I10" s="3" t="str">
        <f>LEFT(표3[[#This Row],[번호]],1)</f>
        <v>A</v>
      </c>
      <c r="J10" s="3">
        <f>COUNTIF(문제보기!B:B,표3[[#This Row],[번호]])</f>
        <v>3</v>
      </c>
      <c r="K10" s="6">
        <f>IFERROR(COUNTIFS(문제보기!B:B,표3[[#This Row],[번호]],문제보기!E:E,"O")/표3[[#This Row],[출제횟수]],0)</f>
        <v>0.33333333333333331</v>
      </c>
    </row>
    <row r="11" spans="1:11" x14ac:dyDescent="0.3">
      <c r="A11" s="3" t="s">
        <v>328</v>
      </c>
      <c r="B11" s="3" t="s">
        <v>329</v>
      </c>
      <c r="C11" s="3" t="s">
        <v>330</v>
      </c>
      <c r="D11" s="3" t="s">
        <v>331</v>
      </c>
      <c r="E11" s="3" t="s">
        <v>332</v>
      </c>
      <c r="F11" s="3" t="s">
        <v>333</v>
      </c>
      <c r="G11" s="3">
        <v>3</v>
      </c>
      <c r="H11" s="3">
        <f t="shared" ca="1" si="0"/>
        <v>0.80046427493545824</v>
      </c>
      <c r="I11" s="3" t="str">
        <f>LEFT(표3[[#This Row],[번호]],1)</f>
        <v>A</v>
      </c>
      <c r="J11" s="3">
        <f>COUNTIF(문제보기!B:B,표3[[#This Row],[번호]])</f>
        <v>5</v>
      </c>
      <c r="K11" s="6">
        <f>IFERROR(COUNTIFS(문제보기!B:B,표3[[#This Row],[번호]],문제보기!E:E,"O")/표3[[#This Row],[출제횟수]],0)</f>
        <v>0.6</v>
      </c>
    </row>
    <row r="12" spans="1:11" x14ac:dyDescent="0.3">
      <c r="A12" s="3" t="s">
        <v>334</v>
      </c>
      <c r="B12" s="3" t="s">
        <v>335</v>
      </c>
      <c r="C12" s="3" t="s">
        <v>336</v>
      </c>
      <c r="D12" s="3" t="s">
        <v>337</v>
      </c>
      <c r="E12" s="3" t="s">
        <v>338</v>
      </c>
      <c r="F12" s="3" t="s">
        <v>339</v>
      </c>
      <c r="G12" s="3">
        <v>2</v>
      </c>
      <c r="H12" s="3">
        <f t="shared" ca="1" si="0"/>
        <v>5.8011281683209348E-2</v>
      </c>
      <c r="I12" s="3" t="str">
        <f>LEFT(표3[[#This Row],[번호]],1)</f>
        <v>A</v>
      </c>
      <c r="J12" s="3">
        <f>COUNTIF(문제보기!B:B,표3[[#This Row],[번호]])</f>
        <v>2</v>
      </c>
      <c r="K12" s="6">
        <f>IFERROR(COUNTIFS(문제보기!B:B,표3[[#This Row],[번호]],문제보기!E:E,"O")/표3[[#This Row],[출제횟수]],0)</f>
        <v>1</v>
      </c>
    </row>
    <row r="13" spans="1:11" x14ac:dyDescent="0.3">
      <c r="A13" s="3" t="s">
        <v>340</v>
      </c>
      <c r="B13" s="3" t="s">
        <v>341</v>
      </c>
      <c r="C13" s="3" t="s">
        <v>342</v>
      </c>
      <c r="D13" s="3" t="s">
        <v>343</v>
      </c>
      <c r="E13" s="3" t="s">
        <v>344</v>
      </c>
      <c r="F13" s="3" t="s">
        <v>345</v>
      </c>
      <c r="G13" s="3">
        <v>3</v>
      </c>
      <c r="H13" s="3">
        <f t="shared" ca="1" si="0"/>
        <v>9.1932068344760642E-2</v>
      </c>
      <c r="I13" s="3" t="str">
        <f>LEFT(표3[[#This Row],[번호]],1)</f>
        <v>A</v>
      </c>
      <c r="J13" s="3">
        <f>COUNTIF(문제보기!B:B,표3[[#This Row],[번호]])</f>
        <v>2</v>
      </c>
      <c r="K13" s="6">
        <f>IFERROR(COUNTIFS(문제보기!B:B,표3[[#This Row],[번호]],문제보기!E:E,"O")/표3[[#This Row],[출제횟수]],0)</f>
        <v>1</v>
      </c>
    </row>
    <row r="14" spans="1:11" x14ac:dyDescent="0.3">
      <c r="A14" s="3" t="s">
        <v>346</v>
      </c>
      <c r="B14" s="3" t="s">
        <v>347</v>
      </c>
      <c r="C14" s="3" t="s">
        <v>348</v>
      </c>
      <c r="D14" s="3" t="s">
        <v>349</v>
      </c>
      <c r="E14" s="3" t="s">
        <v>350</v>
      </c>
      <c r="F14" s="3" t="s">
        <v>351</v>
      </c>
      <c r="G14" s="3">
        <v>1</v>
      </c>
      <c r="H14" s="3">
        <f t="shared" ca="1" si="0"/>
        <v>0.76835874321502318</v>
      </c>
      <c r="I14" s="3" t="str">
        <f>LEFT(표3[[#This Row],[번호]],1)</f>
        <v>A</v>
      </c>
      <c r="J14" s="3">
        <f>COUNTIF(문제보기!B:B,표3[[#This Row],[번호]])</f>
        <v>0</v>
      </c>
      <c r="K14" s="6">
        <f>IFERROR(COUNTIFS(문제보기!B:B,표3[[#This Row],[번호]],문제보기!E:E,"O")/표3[[#This Row],[출제횟수]],0)</f>
        <v>0</v>
      </c>
    </row>
    <row r="15" spans="1:11" x14ac:dyDescent="0.3">
      <c r="A15" s="3" t="s">
        <v>352</v>
      </c>
      <c r="B15" s="3" t="s">
        <v>353</v>
      </c>
      <c r="C15" s="3" t="s">
        <v>354</v>
      </c>
      <c r="D15" s="3" t="s">
        <v>355</v>
      </c>
      <c r="E15" s="3" t="s">
        <v>356</v>
      </c>
      <c r="F15" s="3" t="s">
        <v>357</v>
      </c>
      <c r="G15" s="3">
        <v>1</v>
      </c>
      <c r="H15" s="3">
        <f t="shared" ca="1" si="0"/>
        <v>0.38347208798755716</v>
      </c>
      <c r="I15" s="3" t="str">
        <f>LEFT(표3[[#This Row],[번호]],1)</f>
        <v>A</v>
      </c>
      <c r="J15" s="3">
        <f>COUNTIF(문제보기!B:B,표3[[#This Row],[번호]])</f>
        <v>6</v>
      </c>
      <c r="K15" s="6">
        <f>IFERROR(COUNTIFS(문제보기!B:B,표3[[#This Row],[번호]],문제보기!E:E,"O")/표3[[#This Row],[출제횟수]],0)</f>
        <v>0.5</v>
      </c>
    </row>
    <row r="16" spans="1:11" x14ac:dyDescent="0.3">
      <c r="A16" s="3" t="s">
        <v>358</v>
      </c>
      <c r="B16" s="3" t="s">
        <v>359</v>
      </c>
      <c r="C16" s="3" t="s">
        <v>360</v>
      </c>
      <c r="D16" s="3" t="s">
        <v>361</v>
      </c>
      <c r="E16" s="3" t="s">
        <v>362</v>
      </c>
      <c r="F16" s="3" t="s">
        <v>363</v>
      </c>
      <c r="G16" s="3">
        <v>1</v>
      </c>
      <c r="H16" s="3">
        <f t="shared" ca="1" si="0"/>
        <v>0.60705006537107165</v>
      </c>
      <c r="I16" s="3" t="str">
        <f>LEFT(표3[[#This Row],[번호]],1)</f>
        <v>A</v>
      </c>
      <c r="J16" s="3">
        <f>COUNTIF(문제보기!B:B,표3[[#This Row],[번호]])</f>
        <v>0</v>
      </c>
      <c r="K16" s="6">
        <f>IFERROR(COUNTIFS(문제보기!B:B,표3[[#This Row],[번호]],문제보기!E:E,"O")/표3[[#This Row],[출제횟수]],0)</f>
        <v>0</v>
      </c>
    </row>
    <row r="17" spans="1:11" x14ac:dyDescent="0.3">
      <c r="A17" s="3" t="s">
        <v>364</v>
      </c>
      <c r="B17" s="3" t="s">
        <v>365</v>
      </c>
      <c r="C17" s="3" t="s">
        <v>366</v>
      </c>
      <c r="D17" s="3" t="s">
        <v>367</v>
      </c>
      <c r="E17" s="3" t="s">
        <v>368</v>
      </c>
      <c r="F17" s="3" t="s">
        <v>369</v>
      </c>
      <c r="G17" s="3">
        <v>4</v>
      </c>
      <c r="H17" s="3">
        <f t="shared" ca="1" si="0"/>
        <v>0.10817091814598512</v>
      </c>
      <c r="I17" s="3" t="str">
        <f>LEFT(표3[[#This Row],[번호]],1)</f>
        <v>A</v>
      </c>
      <c r="J17" s="3">
        <f>COUNTIF(문제보기!B:B,표3[[#This Row],[번호]])</f>
        <v>5</v>
      </c>
      <c r="K17" s="6">
        <f>IFERROR(COUNTIFS(문제보기!B:B,표3[[#This Row],[번호]],문제보기!E:E,"O")/표3[[#This Row],[출제횟수]],0)</f>
        <v>0.6</v>
      </c>
    </row>
    <row r="18" spans="1:11" x14ac:dyDescent="0.3">
      <c r="A18" s="3" t="s">
        <v>370</v>
      </c>
      <c r="B18" s="3" t="s">
        <v>371</v>
      </c>
      <c r="C18" s="3" t="s">
        <v>372</v>
      </c>
      <c r="D18" s="3" t="s">
        <v>373</v>
      </c>
      <c r="E18" s="3" t="s">
        <v>374</v>
      </c>
      <c r="F18" s="3" t="s">
        <v>375</v>
      </c>
      <c r="G18" s="3">
        <v>1</v>
      </c>
      <c r="H18" s="3">
        <f t="shared" ca="1" si="0"/>
        <v>0.39163820750949796</v>
      </c>
      <c r="I18" s="3" t="str">
        <f>LEFT(표3[[#This Row],[번호]],1)</f>
        <v>A</v>
      </c>
      <c r="J18" s="3">
        <f>COUNTIF(문제보기!B:B,표3[[#This Row],[번호]])</f>
        <v>0</v>
      </c>
      <c r="K18" s="6">
        <f>IFERROR(COUNTIFS(문제보기!B:B,표3[[#This Row],[번호]],문제보기!E:E,"O")/표3[[#This Row],[출제횟수]],0)</f>
        <v>0</v>
      </c>
    </row>
    <row r="19" spans="1:11" x14ac:dyDescent="0.3">
      <c r="A19" s="3" t="s">
        <v>376</v>
      </c>
      <c r="B19" s="3" t="s">
        <v>377</v>
      </c>
      <c r="C19" s="3" t="s">
        <v>378</v>
      </c>
      <c r="D19" s="3" t="s">
        <v>379</v>
      </c>
      <c r="E19" s="3" t="s">
        <v>380</v>
      </c>
      <c r="F19" s="3" t="s">
        <v>381</v>
      </c>
      <c r="G19" s="3">
        <v>3</v>
      </c>
      <c r="H19" s="3">
        <f t="shared" ca="1" si="0"/>
        <v>0.3096446340511787</v>
      </c>
      <c r="I19" s="3" t="str">
        <f>LEFT(표3[[#This Row],[번호]],1)</f>
        <v>A</v>
      </c>
      <c r="J19" s="3">
        <f>COUNTIF(문제보기!B:B,표3[[#This Row],[번호]])</f>
        <v>2</v>
      </c>
      <c r="K19" s="6">
        <f>IFERROR(COUNTIFS(문제보기!B:B,표3[[#This Row],[번호]],문제보기!E:E,"O")/표3[[#This Row],[출제횟수]],0)</f>
        <v>0.5</v>
      </c>
    </row>
    <row r="20" spans="1:11" x14ac:dyDescent="0.3">
      <c r="A20" s="3" t="s">
        <v>382</v>
      </c>
      <c r="B20" s="3" t="s">
        <v>383</v>
      </c>
      <c r="C20" s="3" t="s">
        <v>384</v>
      </c>
      <c r="D20" s="3" t="s">
        <v>385</v>
      </c>
      <c r="E20" s="3" t="s">
        <v>386</v>
      </c>
      <c r="F20" s="3" t="s">
        <v>387</v>
      </c>
      <c r="G20" s="3">
        <v>4</v>
      </c>
      <c r="H20" s="3">
        <f t="shared" ca="1" si="0"/>
        <v>0.51641967450720228</v>
      </c>
      <c r="I20" s="3" t="str">
        <f>LEFT(표3[[#This Row],[번호]],1)</f>
        <v>A</v>
      </c>
      <c r="J20" s="3">
        <f>COUNTIF(문제보기!B:B,표3[[#This Row],[번호]])</f>
        <v>2</v>
      </c>
      <c r="K20" s="6">
        <f>IFERROR(COUNTIFS(문제보기!B:B,표3[[#This Row],[번호]],문제보기!E:E,"O")/표3[[#This Row],[출제횟수]],0)</f>
        <v>1</v>
      </c>
    </row>
    <row r="21" spans="1:11" x14ac:dyDescent="0.3">
      <c r="A21" s="3" t="s">
        <v>388</v>
      </c>
      <c r="B21" s="3" t="s">
        <v>389</v>
      </c>
      <c r="C21" s="3" t="s">
        <v>390</v>
      </c>
      <c r="D21" s="3" t="s">
        <v>391</v>
      </c>
      <c r="E21" s="3" t="s">
        <v>392</v>
      </c>
      <c r="F21" s="3" t="s">
        <v>393</v>
      </c>
      <c r="G21" s="3">
        <v>2</v>
      </c>
      <c r="H21" s="3">
        <f t="shared" ca="1" si="0"/>
        <v>0.42881779744389303</v>
      </c>
      <c r="I21" s="3" t="str">
        <f>LEFT(표3[[#This Row],[번호]],1)</f>
        <v>A</v>
      </c>
      <c r="J21" s="3">
        <f>COUNTIF(문제보기!B:B,표3[[#This Row],[번호]])</f>
        <v>3</v>
      </c>
      <c r="K21" s="6">
        <f>IFERROR(COUNTIFS(문제보기!B:B,표3[[#This Row],[번호]],문제보기!E:E,"O")/표3[[#This Row],[출제횟수]],0)</f>
        <v>1</v>
      </c>
    </row>
    <row r="22" spans="1:11" x14ac:dyDescent="0.3">
      <c r="A22" s="3" t="s">
        <v>394</v>
      </c>
      <c r="B22" s="3" t="s">
        <v>395</v>
      </c>
      <c r="C22" s="3" t="s">
        <v>396</v>
      </c>
      <c r="D22" s="3" t="s">
        <v>397</v>
      </c>
      <c r="E22" s="3" t="s">
        <v>398</v>
      </c>
      <c r="F22" s="3" t="s">
        <v>399</v>
      </c>
      <c r="G22" s="3">
        <v>1</v>
      </c>
      <c r="H22" s="3">
        <f t="shared" ca="1" si="0"/>
        <v>2.033490698923468E-2</v>
      </c>
      <c r="I22" s="3" t="str">
        <f>LEFT(표3[[#This Row],[번호]],1)</f>
        <v>A</v>
      </c>
      <c r="J22" s="3">
        <f>COUNTIF(문제보기!B:B,표3[[#This Row],[번호]])</f>
        <v>4</v>
      </c>
      <c r="K22" s="6">
        <f>IFERROR(COUNTIFS(문제보기!B:B,표3[[#This Row],[번호]],문제보기!E:E,"O")/표3[[#This Row],[출제횟수]],0)</f>
        <v>0.75</v>
      </c>
    </row>
    <row r="23" spans="1:11" x14ac:dyDescent="0.3">
      <c r="A23" s="3" t="s">
        <v>400</v>
      </c>
      <c r="B23" s="3" t="s">
        <v>401</v>
      </c>
      <c r="C23" s="3" t="s">
        <v>402</v>
      </c>
      <c r="D23" s="3" t="s">
        <v>403</v>
      </c>
      <c r="E23" s="3" t="s">
        <v>404</v>
      </c>
      <c r="F23" s="3" t="s">
        <v>405</v>
      </c>
      <c r="G23" s="3">
        <v>3</v>
      </c>
      <c r="H23" s="3">
        <f t="shared" ca="1" si="0"/>
        <v>0.72967721691364296</v>
      </c>
      <c r="I23" s="3" t="str">
        <f>LEFT(표3[[#This Row],[번호]],1)</f>
        <v>A</v>
      </c>
      <c r="J23" s="3">
        <f>COUNTIF(문제보기!B:B,표3[[#This Row],[번호]])</f>
        <v>2</v>
      </c>
      <c r="K23" s="6">
        <f>IFERROR(COUNTIFS(문제보기!B:B,표3[[#This Row],[번호]],문제보기!E:E,"O")/표3[[#This Row],[출제횟수]],0)</f>
        <v>1</v>
      </c>
    </row>
    <row r="24" spans="1:11" x14ac:dyDescent="0.3">
      <c r="A24" s="3" t="s">
        <v>406</v>
      </c>
      <c r="B24" s="3" t="s">
        <v>407</v>
      </c>
      <c r="C24" s="3" t="s">
        <v>408</v>
      </c>
      <c r="D24" s="3" t="s">
        <v>409</v>
      </c>
      <c r="E24" s="3" t="s">
        <v>410</v>
      </c>
      <c r="F24" s="3" t="s">
        <v>411</v>
      </c>
      <c r="G24" s="3">
        <v>4</v>
      </c>
      <c r="H24" s="3">
        <f t="shared" ca="1" si="0"/>
        <v>0.97600445032996819</v>
      </c>
      <c r="I24" s="3" t="str">
        <f>LEFT(표3[[#This Row],[번호]],1)</f>
        <v>A</v>
      </c>
      <c r="J24" s="3">
        <f>COUNTIF(문제보기!B:B,표3[[#This Row],[번호]])</f>
        <v>2</v>
      </c>
      <c r="K24" s="6">
        <f>IFERROR(COUNTIFS(문제보기!B:B,표3[[#This Row],[번호]],문제보기!E:E,"O")/표3[[#This Row],[출제횟수]],0)</f>
        <v>1</v>
      </c>
    </row>
    <row r="25" spans="1:11" x14ac:dyDescent="0.3">
      <c r="A25" s="3" t="s">
        <v>412</v>
      </c>
      <c r="B25" s="3" t="s">
        <v>413</v>
      </c>
      <c r="C25" s="3" t="s">
        <v>414</v>
      </c>
      <c r="D25" s="3" t="s">
        <v>415</v>
      </c>
      <c r="E25" s="3" t="s">
        <v>416</v>
      </c>
      <c r="F25" s="3" t="s">
        <v>417</v>
      </c>
      <c r="G25" s="3">
        <v>4</v>
      </c>
      <c r="H25" s="3">
        <f t="shared" ca="1" si="0"/>
        <v>0.87868220056628932</v>
      </c>
      <c r="I25" s="3" t="str">
        <f>LEFT(표3[[#This Row],[번호]],1)</f>
        <v>A</v>
      </c>
      <c r="J25" s="3">
        <f>COUNTIF(문제보기!B:B,표3[[#This Row],[번호]])</f>
        <v>5</v>
      </c>
      <c r="K25" s="6">
        <f>IFERROR(COUNTIFS(문제보기!B:B,표3[[#This Row],[번호]],문제보기!E:E,"O")/표3[[#This Row],[출제횟수]],0)</f>
        <v>0.4</v>
      </c>
    </row>
    <row r="26" spans="1:11" x14ac:dyDescent="0.3">
      <c r="A26" s="3" t="s">
        <v>418</v>
      </c>
      <c r="B26" s="3" t="s">
        <v>419</v>
      </c>
      <c r="C26" s="3" t="s">
        <v>420</v>
      </c>
      <c r="D26" s="3" t="s">
        <v>421</v>
      </c>
      <c r="E26" s="3" t="s">
        <v>422</v>
      </c>
      <c r="F26" s="3" t="s">
        <v>423</v>
      </c>
      <c r="G26" s="3">
        <v>4</v>
      </c>
      <c r="H26" s="3">
        <f t="shared" ca="1" si="0"/>
        <v>0.29367289843658451</v>
      </c>
      <c r="I26" s="3" t="str">
        <f>LEFT(표3[[#This Row],[번호]],1)</f>
        <v>A</v>
      </c>
      <c r="J26" s="3">
        <f>COUNTIF(문제보기!B:B,표3[[#This Row],[번호]])</f>
        <v>2</v>
      </c>
      <c r="K26" s="6">
        <f>IFERROR(COUNTIFS(문제보기!B:B,표3[[#This Row],[번호]],문제보기!E:E,"O")/표3[[#This Row],[출제횟수]],0)</f>
        <v>0.5</v>
      </c>
    </row>
    <row r="27" spans="1:11" x14ac:dyDescent="0.3">
      <c r="A27" s="3" t="s">
        <v>424</v>
      </c>
      <c r="B27" s="3" t="s">
        <v>425</v>
      </c>
      <c r="C27" s="3" t="s">
        <v>426</v>
      </c>
      <c r="D27" s="3" t="s">
        <v>427</v>
      </c>
      <c r="E27" s="3" t="s">
        <v>428</v>
      </c>
      <c r="F27" s="3" t="s">
        <v>429</v>
      </c>
      <c r="G27" s="3">
        <v>3</v>
      </c>
      <c r="H27" s="3">
        <f t="shared" ca="1" si="0"/>
        <v>0.55656665954935924</v>
      </c>
      <c r="I27" s="3" t="str">
        <f>LEFT(표3[[#This Row],[번호]],1)</f>
        <v>A</v>
      </c>
      <c r="J27" s="3">
        <f>COUNTIF(문제보기!B:B,표3[[#This Row],[번호]])</f>
        <v>1</v>
      </c>
      <c r="K27" s="6">
        <f>IFERROR(COUNTIFS(문제보기!B:B,표3[[#This Row],[번호]],문제보기!E:E,"O")/표3[[#This Row],[출제횟수]],0)</f>
        <v>1</v>
      </c>
    </row>
    <row r="28" spans="1:11" x14ac:dyDescent="0.3">
      <c r="A28" s="3" t="s">
        <v>430</v>
      </c>
      <c r="B28" s="3" t="s">
        <v>431</v>
      </c>
      <c r="C28" s="3" t="s">
        <v>432</v>
      </c>
      <c r="D28" s="3" t="s">
        <v>433</v>
      </c>
      <c r="E28" s="3" t="s">
        <v>434</v>
      </c>
      <c r="F28" s="3" t="s">
        <v>435</v>
      </c>
      <c r="G28" s="3">
        <v>1</v>
      </c>
      <c r="H28" s="3">
        <f t="shared" ca="1" si="0"/>
        <v>0.19917222509563903</v>
      </c>
      <c r="I28" s="3" t="str">
        <f>LEFT(표3[[#This Row],[번호]],1)</f>
        <v>A</v>
      </c>
      <c r="J28" s="3">
        <f>COUNTIF(문제보기!B:B,표3[[#This Row],[번호]])</f>
        <v>5</v>
      </c>
      <c r="K28" s="6">
        <f>IFERROR(COUNTIFS(문제보기!B:B,표3[[#This Row],[번호]],문제보기!E:E,"O")/표3[[#This Row],[출제횟수]],0)</f>
        <v>0.2</v>
      </c>
    </row>
    <row r="29" spans="1:11" x14ac:dyDescent="0.3">
      <c r="A29" s="3" t="s">
        <v>436</v>
      </c>
      <c r="B29" s="3" t="s">
        <v>437</v>
      </c>
      <c r="C29" s="3" t="s">
        <v>438</v>
      </c>
      <c r="D29" s="3" t="s">
        <v>439</v>
      </c>
      <c r="E29" s="3" t="s">
        <v>440</v>
      </c>
      <c r="F29" s="3" t="s">
        <v>441</v>
      </c>
      <c r="G29" s="3">
        <v>2</v>
      </c>
      <c r="H29" s="3">
        <f t="shared" ca="1" si="0"/>
        <v>0.1627628181586146</v>
      </c>
      <c r="I29" s="3" t="str">
        <f>LEFT(표3[[#This Row],[번호]],1)</f>
        <v>A</v>
      </c>
      <c r="J29" s="3">
        <f>COUNTIF(문제보기!B:B,표3[[#This Row],[번호]])</f>
        <v>1</v>
      </c>
      <c r="K29" s="6">
        <f>IFERROR(COUNTIFS(문제보기!B:B,표3[[#This Row],[번호]],문제보기!E:E,"O")/표3[[#This Row],[출제횟수]],0)</f>
        <v>0</v>
      </c>
    </row>
    <row r="30" spans="1:11" x14ac:dyDescent="0.3">
      <c r="A30" s="3" t="s">
        <v>442</v>
      </c>
      <c r="B30" s="3" t="s">
        <v>443</v>
      </c>
      <c r="C30" s="3" t="s">
        <v>444</v>
      </c>
      <c r="D30" s="3" t="s">
        <v>445</v>
      </c>
      <c r="E30" s="3" t="s">
        <v>446</v>
      </c>
      <c r="F30" s="3" t="s">
        <v>447</v>
      </c>
      <c r="G30" s="3">
        <v>2</v>
      </c>
      <c r="H30" s="3">
        <f t="shared" ca="1" si="0"/>
        <v>5.7144875761535485E-2</v>
      </c>
      <c r="I30" s="3" t="str">
        <f>LEFT(표3[[#This Row],[번호]],1)</f>
        <v>A</v>
      </c>
      <c r="J30" s="3">
        <f>COUNTIF(문제보기!B:B,표3[[#This Row],[번호]])</f>
        <v>3</v>
      </c>
      <c r="K30" s="6">
        <f>IFERROR(COUNTIFS(문제보기!B:B,표3[[#This Row],[번호]],문제보기!E:E,"O")/표3[[#This Row],[출제횟수]],0)</f>
        <v>0.66666666666666663</v>
      </c>
    </row>
    <row r="31" spans="1:11" x14ac:dyDescent="0.3">
      <c r="A31" s="3" t="s">
        <v>448</v>
      </c>
      <c r="B31" s="3" t="s">
        <v>449</v>
      </c>
      <c r="C31" s="3" t="s">
        <v>321</v>
      </c>
      <c r="D31" s="3" t="s">
        <v>445</v>
      </c>
      <c r="E31" s="3" t="s">
        <v>450</v>
      </c>
      <c r="F31" s="3" t="s">
        <v>345</v>
      </c>
      <c r="G31" s="3">
        <v>4</v>
      </c>
      <c r="H31" s="3">
        <f t="shared" ca="1" si="0"/>
        <v>0.52648199010257657</v>
      </c>
      <c r="I31" s="3" t="str">
        <f>LEFT(표3[[#This Row],[번호]],1)</f>
        <v>A</v>
      </c>
      <c r="J31" s="3">
        <f>COUNTIF(문제보기!B:B,표3[[#This Row],[번호]])</f>
        <v>0</v>
      </c>
      <c r="K31" s="6">
        <f>IFERROR(COUNTIFS(문제보기!B:B,표3[[#This Row],[번호]],문제보기!E:E,"O")/표3[[#This Row],[출제횟수]],0)</f>
        <v>0</v>
      </c>
    </row>
    <row r="32" spans="1:11" x14ac:dyDescent="0.3">
      <c r="A32" s="3" t="s">
        <v>451</v>
      </c>
      <c r="B32" s="3" t="s">
        <v>452</v>
      </c>
      <c r="C32" s="3" t="s">
        <v>453</v>
      </c>
      <c r="D32" s="3" t="s">
        <v>454</v>
      </c>
      <c r="E32" s="3" t="s">
        <v>455</v>
      </c>
      <c r="F32" s="3" t="s">
        <v>456</v>
      </c>
      <c r="G32" s="3">
        <v>1</v>
      </c>
      <c r="H32" s="3">
        <f t="shared" ca="1" si="0"/>
        <v>0.8144106471269249</v>
      </c>
      <c r="I32" s="3" t="str">
        <f>LEFT(표3[[#This Row],[번호]],1)</f>
        <v>A</v>
      </c>
      <c r="J32" s="3">
        <f>COUNTIF(문제보기!B:B,표3[[#This Row],[번호]])</f>
        <v>3</v>
      </c>
      <c r="K32" s="6">
        <f>IFERROR(COUNTIFS(문제보기!B:B,표3[[#This Row],[번호]],문제보기!E:E,"O")/표3[[#This Row],[출제횟수]],0)</f>
        <v>0.66666666666666663</v>
      </c>
    </row>
    <row r="33" spans="1:11" x14ac:dyDescent="0.3">
      <c r="A33" s="3" t="s">
        <v>457</v>
      </c>
      <c r="B33" s="3" t="s">
        <v>458</v>
      </c>
      <c r="C33" s="3" t="s">
        <v>459</v>
      </c>
      <c r="D33" s="3" t="s">
        <v>460</v>
      </c>
      <c r="E33" s="3" t="s">
        <v>461</v>
      </c>
      <c r="F33" s="3" t="s">
        <v>462</v>
      </c>
      <c r="G33" s="3">
        <v>4</v>
      </c>
      <c r="H33" s="3">
        <f t="shared" ca="1" si="0"/>
        <v>0.17201204347569976</v>
      </c>
      <c r="I33" s="3" t="str">
        <f>LEFT(표3[[#This Row],[번호]],1)</f>
        <v>A</v>
      </c>
      <c r="J33" s="3">
        <f>COUNTIF(문제보기!B:B,표3[[#This Row],[번호]])</f>
        <v>1</v>
      </c>
      <c r="K33" s="6">
        <f>IFERROR(COUNTIFS(문제보기!B:B,표3[[#This Row],[번호]],문제보기!E:E,"O")/표3[[#This Row],[출제횟수]],0)</f>
        <v>1</v>
      </c>
    </row>
    <row r="34" spans="1:11" x14ac:dyDescent="0.3">
      <c r="A34" s="3" t="s">
        <v>463</v>
      </c>
      <c r="B34" s="3" t="s">
        <v>464</v>
      </c>
      <c r="C34" s="3" t="s">
        <v>465</v>
      </c>
      <c r="D34" s="3" t="s">
        <v>466</v>
      </c>
      <c r="E34" s="3" t="s">
        <v>467</v>
      </c>
      <c r="F34" s="3" t="s">
        <v>468</v>
      </c>
      <c r="G34" s="3">
        <v>4</v>
      </c>
      <c r="H34" s="3">
        <f t="shared" ref="H34:H65" ca="1" si="1">RAND()</f>
        <v>0.86765042935458025</v>
      </c>
      <c r="I34" s="3" t="str">
        <f>LEFT(표3[[#This Row],[번호]],1)</f>
        <v>A</v>
      </c>
      <c r="J34" s="3">
        <f>COUNTIF(문제보기!B:B,표3[[#This Row],[번호]])</f>
        <v>1</v>
      </c>
      <c r="K34" s="6">
        <f>IFERROR(COUNTIFS(문제보기!B:B,표3[[#This Row],[번호]],문제보기!E:E,"O")/표3[[#This Row],[출제횟수]],0)</f>
        <v>1</v>
      </c>
    </row>
    <row r="35" spans="1:11" x14ac:dyDescent="0.3">
      <c r="A35" s="3" t="s">
        <v>469</v>
      </c>
      <c r="B35" s="3" t="s">
        <v>470</v>
      </c>
      <c r="C35" s="3" t="s">
        <v>471</v>
      </c>
      <c r="D35" s="3" t="s">
        <v>343</v>
      </c>
      <c r="E35" s="3" t="s">
        <v>472</v>
      </c>
      <c r="F35" s="3" t="s">
        <v>473</v>
      </c>
      <c r="G35" s="3">
        <v>2</v>
      </c>
      <c r="H35" s="3">
        <f t="shared" ca="1" si="1"/>
        <v>0.46173175286602453</v>
      </c>
      <c r="I35" s="3" t="str">
        <f>LEFT(표3[[#This Row],[번호]],1)</f>
        <v>A</v>
      </c>
      <c r="J35" s="3">
        <f>COUNTIF(문제보기!B:B,표3[[#This Row],[번호]])</f>
        <v>1</v>
      </c>
      <c r="K35" s="6">
        <f>IFERROR(COUNTIFS(문제보기!B:B,표3[[#This Row],[번호]],문제보기!E:E,"O")/표3[[#This Row],[출제횟수]],0)</f>
        <v>0</v>
      </c>
    </row>
    <row r="36" spans="1:11" x14ac:dyDescent="0.3">
      <c r="A36" s="3" t="s">
        <v>474</v>
      </c>
      <c r="B36" s="3" t="s">
        <v>475</v>
      </c>
      <c r="C36" s="3" t="s">
        <v>476</v>
      </c>
      <c r="D36" s="3" t="s">
        <v>477</v>
      </c>
      <c r="E36" s="3" t="s">
        <v>478</v>
      </c>
      <c r="F36" s="3" t="s">
        <v>479</v>
      </c>
      <c r="G36" s="3">
        <v>1</v>
      </c>
      <c r="H36" s="3">
        <f t="shared" ca="1" si="1"/>
        <v>0.94257554657834342</v>
      </c>
      <c r="I36" s="3" t="str">
        <f>LEFT(표3[[#This Row],[번호]],1)</f>
        <v>A</v>
      </c>
      <c r="J36" s="3">
        <f>COUNTIF(문제보기!B:B,표3[[#This Row],[번호]])</f>
        <v>3</v>
      </c>
      <c r="K36" s="6">
        <f>IFERROR(COUNTIFS(문제보기!B:B,표3[[#This Row],[번호]],문제보기!E:E,"O")/표3[[#This Row],[출제횟수]],0)</f>
        <v>0.66666666666666663</v>
      </c>
    </row>
    <row r="37" spans="1:11" x14ac:dyDescent="0.3">
      <c r="A37" s="3" t="s">
        <v>480</v>
      </c>
      <c r="B37" s="3" t="s">
        <v>481</v>
      </c>
      <c r="C37" s="3" t="s">
        <v>482</v>
      </c>
      <c r="D37" s="3" t="s">
        <v>357</v>
      </c>
      <c r="E37" s="3" t="s">
        <v>355</v>
      </c>
      <c r="F37" s="3" t="s">
        <v>356</v>
      </c>
      <c r="G37" s="3">
        <v>2</v>
      </c>
      <c r="H37" s="3">
        <f t="shared" ca="1" si="1"/>
        <v>0.4511517569425898</v>
      </c>
      <c r="I37" s="3" t="str">
        <f>LEFT(표3[[#This Row],[번호]],1)</f>
        <v>A</v>
      </c>
      <c r="J37" s="3">
        <f>COUNTIF(문제보기!B:B,표3[[#This Row],[번호]])</f>
        <v>2</v>
      </c>
      <c r="K37" s="6">
        <f>IFERROR(COUNTIFS(문제보기!B:B,표3[[#This Row],[번호]],문제보기!E:E,"O")/표3[[#This Row],[출제횟수]],0)</f>
        <v>1</v>
      </c>
    </row>
    <row r="38" spans="1:11" x14ac:dyDescent="0.3">
      <c r="A38" s="3" t="s">
        <v>483</v>
      </c>
      <c r="B38" s="3" t="s">
        <v>484</v>
      </c>
      <c r="C38" s="3" t="s">
        <v>485</v>
      </c>
      <c r="D38" s="3" t="s">
        <v>369</v>
      </c>
      <c r="E38" s="3" t="s">
        <v>486</v>
      </c>
      <c r="F38" s="3" t="s">
        <v>360</v>
      </c>
      <c r="G38" s="3">
        <v>3</v>
      </c>
      <c r="H38" s="3">
        <f t="shared" ca="1" si="1"/>
        <v>0.34594459274970746</v>
      </c>
      <c r="I38" s="3" t="str">
        <f>LEFT(표3[[#This Row],[번호]],1)</f>
        <v>A</v>
      </c>
      <c r="J38" s="3">
        <f>COUNTIF(문제보기!B:B,표3[[#This Row],[번호]])</f>
        <v>5</v>
      </c>
      <c r="K38" s="6">
        <f>IFERROR(COUNTIFS(문제보기!B:B,표3[[#This Row],[번호]],문제보기!E:E,"O")/표3[[#This Row],[출제횟수]],0)</f>
        <v>0.4</v>
      </c>
    </row>
    <row r="39" spans="1:11" x14ac:dyDescent="0.3">
      <c r="A39" s="3" t="s">
        <v>487</v>
      </c>
      <c r="B39" s="3" t="s">
        <v>488</v>
      </c>
      <c r="C39" s="3" t="s">
        <v>489</v>
      </c>
      <c r="D39" s="3" t="s">
        <v>490</v>
      </c>
      <c r="E39" s="3" t="s">
        <v>491</v>
      </c>
      <c r="F39" s="3" t="s">
        <v>492</v>
      </c>
      <c r="G39" s="3">
        <v>4</v>
      </c>
      <c r="H39" s="3">
        <f t="shared" ca="1" si="1"/>
        <v>0.8832810319303851</v>
      </c>
      <c r="I39" s="3" t="str">
        <f>LEFT(표3[[#This Row],[번호]],1)</f>
        <v>A</v>
      </c>
      <c r="J39" s="3">
        <f>COUNTIF(문제보기!B:B,표3[[#This Row],[번호]])</f>
        <v>4</v>
      </c>
      <c r="K39" s="6">
        <f>IFERROR(COUNTIFS(문제보기!B:B,표3[[#This Row],[번호]],문제보기!E:E,"O")/표3[[#This Row],[출제횟수]],0)</f>
        <v>0.5</v>
      </c>
    </row>
    <row r="40" spans="1:11" x14ac:dyDescent="0.3">
      <c r="A40" s="3" t="s">
        <v>493</v>
      </c>
      <c r="B40" s="3" t="s">
        <v>494</v>
      </c>
      <c r="C40" s="3" t="s">
        <v>495</v>
      </c>
      <c r="D40" s="3" t="s">
        <v>496</v>
      </c>
      <c r="E40" s="3" t="s">
        <v>497</v>
      </c>
      <c r="F40" s="3" t="s">
        <v>498</v>
      </c>
      <c r="G40" s="3">
        <v>1</v>
      </c>
      <c r="H40" s="3">
        <f t="shared" ca="1" si="1"/>
        <v>0.62224088787706455</v>
      </c>
      <c r="I40" s="3" t="str">
        <f>LEFT(표3[[#This Row],[번호]],1)</f>
        <v>A</v>
      </c>
      <c r="J40" s="3">
        <f>COUNTIF(문제보기!B:B,표3[[#This Row],[번호]])</f>
        <v>1</v>
      </c>
      <c r="K40" s="6">
        <f>IFERROR(COUNTIFS(문제보기!B:B,표3[[#This Row],[번호]],문제보기!E:E,"O")/표3[[#This Row],[출제횟수]],0)</f>
        <v>1</v>
      </c>
    </row>
    <row r="41" spans="1:11" x14ac:dyDescent="0.3">
      <c r="A41" s="3" t="s">
        <v>499</v>
      </c>
      <c r="B41" s="3" t="s">
        <v>500</v>
      </c>
      <c r="C41" s="3" t="s">
        <v>501</v>
      </c>
      <c r="D41" s="3" t="s">
        <v>502</v>
      </c>
      <c r="E41" s="3" t="s">
        <v>503</v>
      </c>
      <c r="F41" s="3" t="s">
        <v>504</v>
      </c>
      <c r="G41" s="3">
        <v>1</v>
      </c>
      <c r="H41" s="3">
        <f t="shared" ca="1" si="1"/>
        <v>0.84440600285607004</v>
      </c>
      <c r="I41" s="3" t="str">
        <f>LEFT(표3[[#This Row],[번호]],1)</f>
        <v>A</v>
      </c>
      <c r="J41" s="3">
        <f>COUNTIF(문제보기!B:B,표3[[#This Row],[번호]])</f>
        <v>6</v>
      </c>
      <c r="K41" s="6">
        <f>IFERROR(COUNTIFS(문제보기!B:B,표3[[#This Row],[번호]],문제보기!E:E,"O")/표3[[#This Row],[출제횟수]],0)</f>
        <v>0.5</v>
      </c>
    </row>
    <row r="42" spans="1:11" x14ac:dyDescent="0.3">
      <c r="A42" s="3" t="s">
        <v>505</v>
      </c>
      <c r="B42" s="3" t="s">
        <v>506</v>
      </c>
      <c r="C42" s="3" t="s">
        <v>507</v>
      </c>
      <c r="D42" s="3" t="s">
        <v>508</v>
      </c>
      <c r="E42" s="3" t="s">
        <v>509</v>
      </c>
      <c r="F42" s="3" t="s">
        <v>510</v>
      </c>
      <c r="G42" s="3">
        <v>1</v>
      </c>
      <c r="H42" s="3">
        <f t="shared" ca="1" si="1"/>
        <v>0.32409999182801208</v>
      </c>
      <c r="I42" s="3" t="str">
        <f>LEFT(표3[[#This Row],[번호]],1)</f>
        <v>B</v>
      </c>
      <c r="J42" s="3">
        <f>COUNTIF(문제보기!B:B,표3[[#This Row],[번호]])</f>
        <v>7</v>
      </c>
      <c r="K42" s="6">
        <f>IFERROR(COUNTIFS(문제보기!B:B,표3[[#This Row],[번호]],문제보기!E:E,"O")/표3[[#This Row],[출제횟수]],0)</f>
        <v>0.2857142857142857</v>
      </c>
    </row>
    <row r="43" spans="1:11" x14ac:dyDescent="0.3">
      <c r="A43" s="3" t="s">
        <v>511</v>
      </c>
      <c r="B43" s="3" t="s">
        <v>512</v>
      </c>
      <c r="C43" s="3" t="s">
        <v>513</v>
      </c>
      <c r="D43" s="3" t="s">
        <v>514</v>
      </c>
      <c r="E43" s="3" t="s">
        <v>515</v>
      </c>
      <c r="F43" s="3" t="s">
        <v>516</v>
      </c>
      <c r="G43" s="3">
        <v>2</v>
      </c>
      <c r="H43" s="3">
        <f t="shared" ca="1" si="1"/>
        <v>0.27582293423545334</v>
      </c>
      <c r="I43" s="3" t="str">
        <f>LEFT(표3[[#This Row],[번호]],1)</f>
        <v>B</v>
      </c>
      <c r="J43" s="3">
        <f>COUNTIF(문제보기!B:B,표3[[#This Row],[번호]])</f>
        <v>10</v>
      </c>
      <c r="K43" s="6">
        <f>IFERROR(COUNTIFS(문제보기!B:B,표3[[#This Row],[번호]],문제보기!E:E,"O")/표3[[#This Row],[출제횟수]],0)</f>
        <v>0.4</v>
      </c>
    </row>
    <row r="44" spans="1:11" x14ac:dyDescent="0.3">
      <c r="A44" s="3" t="s">
        <v>517</v>
      </c>
      <c r="B44" s="3" t="s">
        <v>518</v>
      </c>
      <c r="C44" s="3" t="s">
        <v>519</v>
      </c>
      <c r="D44" s="3" t="s">
        <v>520</v>
      </c>
      <c r="E44" s="3" t="s">
        <v>521</v>
      </c>
      <c r="F44" s="3" t="s">
        <v>522</v>
      </c>
      <c r="G44" s="3">
        <v>1</v>
      </c>
      <c r="H44" s="3">
        <f t="shared" ca="1" si="1"/>
        <v>0.87815015539967145</v>
      </c>
      <c r="I44" s="3" t="str">
        <f>LEFT(표3[[#This Row],[번호]],1)</f>
        <v>B</v>
      </c>
      <c r="J44" s="3">
        <f>COUNTIF(문제보기!B:B,표3[[#This Row],[번호]])</f>
        <v>2</v>
      </c>
      <c r="K44" s="6">
        <f>IFERROR(COUNTIFS(문제보기!B:B,표3[[#This Row],[번호]],문제보기!E:E,"O")/표3[[#This Row],[출제횟수]],0)</f>
        <v>1</v>
      </c>
    </row>
    <row r="45" spans="1:11" x14ac:dyDescent="0.3">
      <c r="A45" s="3" t="s">
        <v>523</v>
      </c>
      <c r="B45" s="3" t="s">
        <v>524</v>
      </c>
      <c r="C45" s="3" t="s">
        <v>525</v>
      </c>
      <c r="D45" s="3" t="s">
        <v>526</v>
      </c>
      <c r="E45" s="3" t="s">
        <v>527</v>
      </c>
      <c r="F45" s="3" t="s">
        <v>528</v>
      </c>
      <c r="G45" s="3">
        <v>4</v>
      </c>
      <c r="H45" s="3">
        <f t="shared" ca="1" si="1"/>
        <v>0.38095625028036195</v>
      </c>
      <c r="I45" s="3" t="str">
        <f>LEFT(표3[[#This Row],[번호]],1)</f>
        <v>B</v>
      </c>
      <c r="J45" s="3">
        <f>COUNTIF(문제보기!B:B,표3[[#This Row],[번호]])</f>
        <v>3</v>
      </c>
      <c r="K45" s="6">
        <f>IFERROR(COUNTIFS(문제보기!B:B,표3[[#This Row],[번호]],문제보기!E:E,"O")/표3[[#This Row],[출제횟수]],0)</f>
        <v>0.33333333333333331</v>
      </c>
    </row>
    <row r="46" spans="1:11" x14ac:dyDescent="0.3">
      <c r="A46" s="3" t="s">
        <v>529</v>
      </c>
      <c r="B46" s="3" t="s">
        <v>530</v>
      </c>
      <c r="C46" s="3" t="s">
        <v>531</v>
      </c>
      <c r="D46" s="3" t="s">
        <v>532</v>
      </c>
      <c r="E46" s="3" t="s">
        <v>533</v>
      </c>
      <c r="F46" s="3" t="s">
        <v>534</v>
      </c>
      <c r="G46" s="3">
        <v>4</v>
      </c>
      <c r="H46" s="3">
        <f t="shared" ca="1" si="1"/>
        <v>0.55740636088990936</v>
      </c>
      <c r="I46" s="3" t="str">
        <f>LEFT(표3[[#This Row],[번호]],1)</f>
        <v>B</v>
      </c>
      <c r="J46" s="3">
        <f>COUNTIF(문제보기!B:B,표3[[#This Row],[번호]])</f>
        <v>2</v>
      </c>
      <c r="K46" s="6">
        <f>IFERROR(COUNTIFS(문제보기!B:B,표3[[#This Row],[번호]],문제보기!E:E,"O")/표3[[#This Row],[출제횟수]],0)</f>
        <v>0.5</v>
      </c>
    </row>
    <row r="47" spans="1:11" x14ac:dyDescent="0.3">
      <c r="A47" s="3" t="s">
        <v>535</v>
      </c>
      <c r="B47" s="3" t="s">
        <v>536</v>
      </c>
      <c r="C47" s="3" t="s">
        <v>537</v>
      </c>
      <c r="D47" s="3" t="s">
        <v>538</v>
      </c>
      <c r="E47" s="3" t="s">
        <v>539</v>
      </c>
      <c r="F47" s="3" t="s">
        <v>540</v>
      </c>
      <c r="G47" s="3">
        <v>4</v>
      </c>
      <c r="H47" s="3">
        <f t="shared" ca="1" si="1"/>
        <v>0.60672416242805438</v>
      </c>
      <c r="I47" s="3" t="str">
        <f>LEFT(표3[[#This Row],[번호]],1)</f>
        <v>B</v>
      </c>
      <c r="J47" s="3">
        <f>COUNTIF(문제보기!B:B,표3[[#This Row],[번호]])</f>
        <v>1</v>
      </c>
      <c r="K47" s="6">
        <f>IFERROR(COUNTIFS(문제보기!B:B,표3[[#This Row],[번호]],문제보기!E:E,"O")/표3[[#This Row],[출제횟수]],0)</f>
        <v>0</v>
      </c>
    </row>
    <row r="48" spans="1:11" x14ac:dyDescent="0.3">
      <c r="A48" s="3" t="s">
        <v>541</v>
      </c>
      <c r="B48" s="3" t="s">
        <v>542</v>
      </c>
      <c r="C48" s="3" t="s">
        <v>543</v>
      </c>
      <c r="D48" s="3" t="s">
        <v>544</v>
      </c>
      <c r="E48" s="3" t="s">
        <v>545</v>
      </c>
      <c r="F48" s="3" t="s">
        <v>546</v>
      </c>
      <c r="G48" s="3">
        <v>1</v>
      </c>
      <c r="H48" s="3">
        <f t="shared" ca="1" si="1"/>
        <v>0.39239792001465246</v>
      </c>
      <c r="I48" s="3" t="str">
        <f>LEFT(표3[[#This Row],[번호]],1)</f>
        <v>B</v>
      </c>
      <c r="J48" s="3">
        <f>COUNTIF(문제보기!B:B,표3[[#This Row],[번호]])</f>
        <v>4</v>
      </c>
      <c r="K48" s="6">
        <f>IFERROR(COUNTIFS(문제보기!B:B,표3[[#This Row],[번호]],문제보기!E:E,"O")/표3[[#This Row],[출제횟수]],0)</f>
        <v>0.25</v>
      </c>
    </row>
    <row r="49" spans="1:11" x14ac:dyDescent="0.3">
      <c r="A49" s="3" t="s">
        <v>547</v>
      </c>
      <c r="B49" s="3" t="s">
        <v>548</v>
      </c>
      <c r="C49" s="3" t="s">
        <v>549</v>
      </c>
      <c r="D49" s="3" t="s">
        <v>550</v>
      </c>
      <c r="E49" s="3" t="s">
        <v>551</v>
      </c>
      <c r="F49" s="3" t="s">
        <v>552</v>
      </c>
      <c r="G49" s="3">
        <v>2</v>
      </c>
      <c r="H49" s="3">
        <f t="shared" ca="1" si="1"/>
        <v>0.31723508638836029</v>
      </c>
      <c r="I49" s="3" t="str">
        <f>LEFT(표3[[#This Row],[번호]],1)</f>
        <v>B</v>
      </c>
      <c r="J49" s="3">
        <f>COUNTIF(문제보기!B:B,표3[[#This Row],[번호]])</f>
        <v>7</v>
      </c>
      <c r="K49" s="6">
        <f>IFERROR(COUNTIFS(문제보기!B:B,표3[[#This Row],[번호]],문제보기!E:E,"O")/표3[[#This Row],[출제횟수]],0)</f>
        <v>0.42857142857142855</v>
      </c>
    </row>
    <row r="50" spans="1:11" x14ac:dyDescent="0.3">
      <c r="A50" s="3" t="s">
        <v>553</v>
      </c>
      <c r="B50" s="3" t="s">
        <v>554</v>
      </c>
      <c r="C50" s="3" t="s">
        <v>555</v>
      </c>
      <c r="D50" s="3" t="s">
        <v>556</v>
      </c>
      <c r="E50" s="3" t="s">
        <v>557</v>
      </c>
      <c r="F50" s="3" t="s">
        <v>558</v>
      </c>
      <c r="G50" s="3">
        <v>1</v>
      </c>
      <c r="H50" s="3">
        <f t="shared" ca="1" si="1"/>
        <v>0.4640371120232839</v>
      </c>
      <c r="I50" s="3" t="str">
        <f>LEFT(표3[[#This Row],[번호]],1)</f>
        <v>B</v>
      </c>
      <c r="J50" s="3">
        <f>COUNTIF(문제보기!B:B,표3[[#This Row],[번호]])</f>
        <v>9</v>
      </c>
      <c r="K50" s="6">
        <f>IFERROR(COUNTIFS(문제보기!B:B,표3[[#This Row],[번호]],문제보기!E:E,"O")/표3[[#This Row],[출제횟수]],0)</f>
        <v>0.66666666666666663</v>
      </c>
    </row>
    <row r="51" spans="1:11" x14ac:dyDescent="0.3">
      <c r="A51" s="3" t="s">
        <v>559</v>
      </c>
      <c r="B51" s="3" t="s">
        <v>560</v>
      </c>
      <c r="C51" s="3" t="s">
        <v>561</v>
      </c>
      <c r="D51" s="3" t="s">
        <v>562</v>
      </c>
      <c r="E51" s="3" t="s">
        <v>563</v>
      </c>
      <c r="F51" s="3" t="s">
        <v>564</v>
      </c>
      <c r="G51" s="3">
        <v>4</v>
      </c>
      <c r="H51" s="3">
        <f t="shared" ca="1" si="1"/>
        <v>5.4670075317391986E-2</v>
      </c>
      <c r="I51" s="3" t="str">
        <f>LEFT(표3[[#This Row],[번호]],1)</f>
        <v>B</v>
      </c>
      <c r="J51" s="3">
        <f>COUNTIF(문제보기!B:B,표3[[#This Row],[번호]])</f>
        <v>6</v>
      </c>
      <c r="K51" s="6">
        <f>IFERROR(COUNTIFS(문제보기!B:B,표3[[#This Row],[번호]],문제보기!E:E,"O")/표3[[#This Row],[출제횟수]],0)</f>
        <v>0.5</v>
      </c>
    </row>
    <row r="52" spans="1:11" x14ac:dyDescent="0.3">
      <c r="A52" s="3" t="s">
        <v>565</v>
      </c>
      <c r="B52" s="3" t="s">
        <v>566</v>
      </c>
      <c r="C52" s="3" t="s">
        <v>567</v>
      </c>
      <c r="D52" s="3" t="s">
        <v>568</v>
      </c>
      <c r="E52" s="3" t="s">
        <v>569</v>
      </c>
      <c r="F52" s="3" t="s">
        <v>570</v>
      </c>
      <c r="G52" s="3">
        <v>3</v>
      </c>
      <c r="H52" s="3">
        <f t="shared" ca="1" si="1"/>
        <v>5.9042734682081432E-2</v>
      </c>
      <c r="I52" s="3" t="str">
        <f>LEFT(표3[[#This Row],[번호]],1)</f>
        <v>B</v>
      </c>
      <c r="J52" s="3">
        <f>COUNTIF(문제보기!B:B,표3[[#This Row],[번호]])</f>
        <v>3</v>
      </c>
      <c r="K52" s="6">
        <f>IFERROR(COUNTIFS(문제보기!B:B,표3[[#This Row],[번호]],문제보기!E:E,"O")/표3[[#This Row],[출제횟수]],0)</f>
        <v>0.33333333333333331</v>
      </c>
    </row>
    <row r="53" spans="1:11" x14ac:dyDescent="0.3">
      <c r="A53" s="3" t="s">
        <v>571</v>
      </c>
      <c r="B53" s="3" t="s">
        <v>572</v>
      </c>
      <c r="C53" s="3" t="s">
        <v>573</v>
      </c>
      <c r="D53" s="3" t="s">
        <v>574</v>
      </c>
      <c r="E53" s="3" t="s">
        <v>575</v>
      </c>
      <c r="F53" s="3" t="s">
        <v>576</v>
      </c>
      <c r="G53" s="3">
        <v>2</v>
      </c>
      <c r="H53" s="3">
        <f t="shared" ca="1" si="1"/>
        <v>0.32520149221720773</v>
      </c>
      <c r="I53" s="3" t="str">
        <f>LEFT(표3[[#This Row],[번호]],1)</f>
        <v>B</v>
      </c>
      <c r="J53" s="3">
        <f>COUNTIF(문제보기!B:B,표3[[#This Row],[번호]])</f>
        <v>0</v>
      </c>
      <c r="K53" s="6">
        <f>IFERROR(COUNTIFS(문제보기!B:B,표3[[#This Row],[번호]],문제보기!E:E,"O")/표3[[#This Row],[출제횟수]],0)</f>
        <v>0</v>
      </c>
    </row>
    <row r="54" spans="1:11" x14ac:dyDescent="0.3">
      <c r="A54" s="3" t="s">
        <v>577</v>
      </c>
      <c r="B54" s="3" t="s">
        <v>578</v>
      </c>
      <c r="C54" s="3" t="s">
        <v>579</v>
      </c>
      <c r="D54" s="3" t="s">
        <v>580</v>
      </c>
      <c r="E54" s="3" t="s">
        <v>581</v>
      </c>
      <c r="F54" s="3" t="s">
        <v>582</v>
      </c>
      <c r="G54" s="3">
        <v>4</v>
      </c>
      <c r="H54" s="3">
        <f t="shared" ca="1" si="1"/>
        <v>0.24873511887519406</v>
      </c>
      <c r="I54" s="3" t="str">
        <f>LEFT(표3[[#This Row],[번호]],1)</f>
        <v>B</v>
      </c>
      <c r="J54" s="3">
        <f>COUNTIF(문제보기!B:B,표3[[#This Row],[번호]])</f>
        <v>1</v>
      </c>
      <c r="K54" s="6">
        <f>IFERROR(COUNTIFS(문제보기!B:B,표3[[#This Row],[번호]],문제보기!E:E,"O")/표3[[#This Row],[출제횟수]],0)</f>
        <v>0</v>
      </c>
    </row>
    <row r="55" spans="1:11" x14ac:dyDescent="0.3">
      <c r="A55" s="3" t="s">
        <v>583</v>
      </c>
      <c r="B55" s="3" t="s">
        <v>584</v>
      </c>
      <c r="C55" s="3" t="s">
        <v>501</v>
      </c>
      <c r="D55" s="3" t="s">
        <v>585</v>
      </c>
      <c r="E55" s="3" t="s">
        <v>586</v>
      </c>
      <c r="F55" s="3" t="s">
        <v>587</v>
      </c>
      <c r="G55" s="3">
        <v>3</v>
      </c>
      <c r="H55" s="3">
        <f t="shared" ca="1" si="1"/>
        <v>0.1870491965574792</v>
      </c>
      <c r="I55" s="3" t="str">
        <f>LEFT(표3[[#This Row],[번호]],1)</f>
        <v>B</v>
      </c>
      <c r="J55" s="3">
        <f>COUNTIF(문제보기!B:B,표3[[#This Row],[번호]])</f>
        <v>6</v>
      </c>
      <c r="K55" s="6">
        <f>IFERROR(COUNTIFS(문제보기!B:B,표3[[#This Row],[번호]],문제보기!E:E,"O")/표3[[#This Row],[출제횟수]],0)</f>
        <v>0.66666666666666663</v>
      </c>
    </row>
    <row r="56" spans="1:11" x14ac:dyDescent="0.3">
      <c r="A56" s="3" t="s">
        <v>588</v>
      </c>
      <c r="B56" s="3" t="s">
        <v>589</v>
      </c>
      <c r="C56" s="6">
        <v>0.08</v>
      </c>
      <c r="D56" s="6">
        <v>0.16</v>
      </c>
      <c r="E56" s="6">
        <v>0.2</v>
      </c>
      <c r="F56" s="6">
        <v>0.24</v>
      </c>
      <c r="G56" s="3">
        <v>3</v>
      </c>
      <c r="H56" s="3">
        <f t="shared" ca="1" si="1"/>
        <v>0.82328873071378894</v>
      </c>
      <c r="I56" s="3" t="str">
        <f>LEFT(표3[[#This Row],[번호]],1)</f>
        <v>B</v>
      </c>
      <c r="J56" s="3">
        <f>COUNTIF(문제보기!B:B,표3[[#This Row],[번호]])</f>
        <v>3</v>
      </c>
      <c r="K56" s="6">
        <f>IFERROR(COUNTIFS(문제보기!B:B,표3[[#This Row],[번호]],문제보기!E:E,"O")/표3[[#This Row],[출제횟수]],0)</f>
        <v>0.66666666666666663</v>
      </c>
    </row>
    <row r="57" spans="1:11" x14ac:dyDescent="0.3">
      <c r="A57" s="3" t="s">
        <v>590</v>
      </c>
      <c r="B57" s="3" t="s">
        <v>591</v>
      </c>
      <c r="C57" s="3" t="s">
        <v>592</v>
      </c>
      <c r="D57" s="3" t="s">
        <v>593</v>
      </c>
      <c r="E57" s="3" t="s">
        <v>594</v>
      </c>
      <c r="F57" s="3" t="s">
        <v>595</v>
      </c>
      <c r="G57" s="3">
        <v>4</v>
      </c>
      <c r="H57" s="3">
        <f t="shared" ca="1" si="1"/>
        <v>0.67663525320930895</v>
      </c>
      <c r="I57" s="3" t="str">
        <f>LEFT(표3[[#This Row],[번호]],1)</f>
        <v>B</v>
      </c>
      <c r="J57" s="3">
        <f>COUNTIF(문제보기!B:B,표3[[#This Row],[번호]])</f>
        <v>4</v>
      </c>
      <c r="K57" s="6">
        <f>IFERROR(COUNTIFS(문제보기!B:B,표3[[#This Row],[번호]],문제보기!E:E,"O")/표3[[#This Row],[출제횟수]],0)</f>
        <v>0.5</v>
      </c>
    </row>
    <row r="58" spans="1:11" x14ac:dyDescent="0.3">
      <c r="A58" s="3" t="s">
        <v>596</v>
      </c>
      <c r="B58" s="3" t="s">
        <v>597</v>
      </c>
      <c r="C58" s="3" t="s">
        <v>598</v>
      </c>
      <c r="D58" s="3" t="s">
        <v>599</v>
      </c>
      <c r="E58" s="3" t="s">
        <v>600</v>
      </c>
      <c r="F58" s="3" t="s">
        <v>601</v>
      </c>
      <c r="G58" s="3">
        <v>2</v>
      </c>
      <c r="H58" s="3">
        <f t="shared" ca="1" si="1"/>
        <v>0.55135219328155338</v>
      </c>
      <c r="I58" s="3" t="str">
        <f>LEFT(표3[[#This Row],[번호]],1)</f>
        <v>B</v>
      </c>
      <c r="J58" s="3">
        <f>COUNTIF(문제보기!B:B,표3[[#This Row],[번호]])</f>
        <v>2</v>
      </c>
      <c r="K58" s="6">
        <f>IFERROR(COUNTIFS(문제보기!B:B,표3[[#This Row],[번호]],문제보기!E:E,"O")/표3[[#This Row],[출제횟수]],0)</f>
        <v>0</v>
      </c>
    </row>
    <row r="59" spans="1:11" x14ac:dyDescent="0.3">
      <c r="A59" s="3" t="s">
        <v>602</v>
      </c>
      <c r="B59" s="3" t="s">
        <v>603</v>
      </c>
      <c r="C59" s="3" t="s">
        <v>604</v>
      </c>
      <c r="D59" s="3" t="s">
        <v>605</v>
      </c>
      <c r="E59" s="3" t="s">
        <v>606</v>
      </c>
      <c r="F59" s="3" t="s">
        <v>607</v>
      </c>
      <c r="G59" s="3">
        <v>2</v>
      </c>
      <c r="H59" s="3">
        <f t="shared" ca="1" si="1"/>
        <v>7.4099165492624408E-2</v>
      </c>
      <c r="I59" s="3" t="str">
        <f>LEFT(표3[[#This Row],[번호]],1)</f>
        <v>B</v>
      </c>
      <c r="J59" s="3">
        <f>COUNTIF(문제보기!B:B,표3[[#This Row],[번호]])</f>
        <v>5</v>
      </c>
      <c r="K59" s="6">
        <f>IFERROR(COUNTIFS(문제보기!B:B,표3[[#This Row],[번호]],문제보기!E:E,"O")/표3[[#This Row],[출제횟수]],0)</f>
        <v>0.6</v>
      </c>
    </row>
    <row r="60" spans="1:11" x14ac:dyDescent="0.3">
      <c r="A60" s="3" t="s">
        <v>608</v>
      </c>
      <c r="B60" s="3" t="s">
        <v>609</v>
      </c>
      <c r="C60" s="3" t="s">
        <v>610</v>
      </c>
      <c r="D60" s="3" t="s">
        <v>611</v>
      </c>
      <c r="E60" s="3" t="s">
        <v>612</v>
      </c>
      <c r="F60" s="3" t="s">
        <v>613</v>
      </c>
      <c r="G60" s="3">
        <v>3</v>
      </c>
      <c r="H60" s="3">
        <f t="shared" ca="1" si="1"/>
        <v>0.42600905336600892</v>
      </c>
      <c r="I60" s="3" t="str">
        <f>LEFT(표3[[#This Row],[번호]],1)</f>
        <v>B</v>
      </c>
      <c r="J60" s="3">
        <f>COUNTIF(문제보기!B:B,표3[[#This Row],[번호]])</f>
        <v>9</v>
      </c>
      <c r="K60" s="6">
        <f>IFERROR(COUNTIFS(문제보기!B:B,표3[[#This Row],[번호]],문제보기!E:E,"O")/표3[[#This Row],[출제횟수]],0)</f>
        <v>0.55555555555555558</v>
      </c>
    </row>
    <row r="61" spans="1:11" x14ac:dyDescent="0.3">
      <c r="A61" s="3" t="s">
        <v>614</v>
      </c>
      <c r="B61" s="3" t="s">
        <v>615</v>
      </c>
      <c r="C61" s="3" t="s">
        <v>616</v>
      </c>
      <c r="D61" s="3" t="s">
        <v>617</v>
      </c>
      <c r="E61" s="3" t="s">
        <v>618</v>
      </c>
      <c r="F61" s="3" t="s">
        <v>619</v>
      </c>
      <c r="G61" s="3">
        <v>3</v>
      </c>
      <c r="H61" s="3">
        <f t="shared" ca="1" si="1"/>
        <v>0.7339754953294263</v>
      </c>
      <c r="I61" s="3" t="str">
        <f>LEFT(표3[[#This Row],[번호]],1)</f>
        <v>B</v>
      </c>
      <c r="J61" s="3">
        <f>COUNTIF(문제보기!B:B,표3[[#This Row],[번호]])</f>
        <v>8</v>
      </c>
      <c r="K61" s="6">
        <f>IFERROR(COUNTIFS(문제보기!B:B,표3[[#This Row],[번호]],문제보기!E:E,"O")/표3[[#This Row],[출제횟수]],0)</f>
        <v>0.5</v>
      </c>
    </row>
    <row r="62" spans="1:11" x14ac:dyDescent="0.3">
      <c r="A62" s="3" t="s">
        <v>620</v>
      </c>
      <c r="B62" s="3" t="s">
        <v>621</v>
      </c>
      <c r="C62" s="3" t="s">
        <v>622</v>
      </c>
      <c r="D62" s="3" t="s">
        <v>623</v>
      </c>
      <c r="E62" s="3" t="s">
        <v>624</v>
      </c>
      <c r="F62" s="3" t="s">
        <v>625</v>
      </c>
      <c r="G62" s="3">
        <v>4</v>
      </c>
      <c r="H62" s="3">
        <f t="shared" ca="1" si="1"/>
        <v>0.93430783320015032</v>
      </c>
      <c r="I62" s="3" t="str">
        <f>LEFT(표3[[#This Row],[번호]],1)</f>
        <v>B</v>
      </c>
      <c r="J62" s="3">
        <f>COUNTIF(문제보기!B:B,표3[[#This Row],[번호]])</f>
        <v>2</v>
      </c>
      <c r="K62" s="6">
        <f>IFERROR(COUNTIFS(문제보기!B:B,표3[[#This Row],[번호]],문제보기!E:E,"O")/표3[[#This Row],[출제횟수]],0)</f>
        <v>0.5</v>
      </c>
    </row>
    <row r="63" spans="1:11" x14ac:dyDescent="0.3">
      <c r="A63" s="3" t="s">
        <v>626</v>
      </c>
      <c r="B63" s="3" t="s">
        <v>627</v>
      </c>
      <c r="C63" s="3" t="s">
        <v>628</v>
      </c>
      <c r="D63" s="3" t="s">
        <v>629</v>
      </c>
      <c r="E63" s="3" t="s">
        <v>630</v>
      </c>
      <c r="F63" s="3" t="s">
        <v>631</v>
      </c>
      <c r="G63" s="3">
        <v>4</v>
      </c>
      <c r="H63" s="3">
        <f t="shared" ca="1" si="1"/>
        <v>9.0956038051756671E-2</v>
      </c>
      <c r="I63" s="3" t="str">
        <f>LEFT(표3[[#This Row],[번호]],1)</f>
        <v>B</v>
      </c>
      <c r="J63" s="3">
        <f>COUNTIF(문제보기!B:B,표3[[#This Row],[번호]])</f>
        <v>4</v>
      </c>
      <c r="K63" s="6">
        <f>IFERROR(COUNTIFS(문제보기!B:B,표3[[#This Row],[번호]],문제보기!E:E,"O")/표3[[#This Row],[출제횟수]],0)</f>
        <v>0.5</v>
      </c>
    </row>
    <row r="64" spans="1:11" x14ac:dyDescent="0.3">
      <c r="A64" s="3" t="s">
        <v>632</v>
      </c>
      <c r="B64" s="3" t="s">
        <v>633</v>
      </c>
      <c r="C64" s="3" t="s">
        <v>634</v>
      </c>
      <c r="D64" s="3" t="s">
        <v>635</v>
      </c>
      <c r="E64" s="3" t="s">
        <v>636</v>
      </c>
      <c r="F64" s="3" t="s">
        <v>637</v>
      </c>
      <c r="G64" s="3">
        <v>3</v>
      </c>
      <c r="H64" s="3">
        <f t="shared" ca="1" si="1"/>
        <v>0.22559362835928443</v>
      </c>
      <c r="I64" s="3" t="str">
        <f>LEFT(표3[[#This Row],[번호]],1)</f>
        <v>B</v>
      </c>
      <c r="J64" s="3">
        <f>COUNTIF(문제보기!B:B,표3[[#This Row],[번호]])</f>
        <v>5</v>
      </c>
      <c r="K64" s="6">
        <f>IFERROR(COUNTIFS(문제보기!B:B,표3[[#This Row],[번호]],문제보기!E:E,"O")/표3[[#This Row],[출제횟수]],0)</f>
        <v>0.6</v>
      </c>
    </row>
    <row r="65" spans="1:11" x14ac:dyDescent="0.3">
      <c r="A65" s="3" t="s">
        <v>638</v>
      </c>
      <c r="B65" s="3" t="s">
        <v>639</v>
      </c>
      <c r="C65" s="3" t="s">
        <v>640</v>
      </c>
      <c r="D65" s="3" t="s">
        <v>641</v>
      </c>
      <c r="E65" s="3" t="s">
        <v>642</v>
      </c>
      <c r="F65" s="3" t="s">
        <v>643</v>
      </c>
      <c r="G65" s="3">
        <v>1</v>
      </c>
      <c r="H65" s="3">
        <f t="shared" ca="1" si="1"/>
        <v>0.25987849976475774</v>
      </c>
      <c r="I65" s="3" t="str">
        <f>LEFT(표3[[#This Row],[번호]],1)</f>
        <v>B</v>
      </c>
      <c r="J65" s="3">
        <f>COUNTIF(문제보기!B:B,표3[[#This Row],[번호]])</f>
        <v>4</v>
      </c>
      <c r="K65" s="6">
        <f>IFERROR(COUNTIFS(문제보기!B:B,표3[[#This Row],[번호]],문제보기!E:E,"O")/표3[[#This Row],[출제횟수]],0)</f>
        <v>0.25</v>
      </c>
    </row>
    <row r="66" spans="1:11" x14ac:dyDescent="0.3">
      <c r="A66" s="3" t="s">
        <v>644</v>
      </c>
      <c r="B66" s="3" t="s">
        <v>645</v>
      </c>
      <c r="C66" s="3" t="s">
        <v>646</v>
      </c>
      <c r="D66" s="3" t="s">
        <v>647</v>
      </c>
      <c r="E66" s="3" t="s">
        <v>648</v>
      </c>
      <c r="F66" s="3" t="s">
        <v>649</v>
      </c>
      <c r="G66" s="3">
        <v>4</v>
      </c>
      <c r="H66" s="3">
        <f t="shared" ref="H66:H97" ca="1" si="2">RAND()</f>
        <v>0.73730833424097919</v>
      </c>
      <c r="I66" s="3" t="str">
        <f>LEFT(표3[[#This Row],[번호]],1)</f>
        <v>B</v>
      </c>
      <c r="J66" s="3">
        <f>COUNTIF(문제보기!B:B,표3[[#This Row],[번호]])</f>
        <v>1</v>
      </c>
      <c r="K66" s="6">
        <f>IFERROR(COUNTIFS(문제보기!B:B,표3[[#This Row],[번호]],문제보기!E:E,"O")/표3[[#This Row],[출제횟수]],0)</f>
        <v>0</v>
      </c>
    </row>
    <row r="67" spans="1:11" x14ac:dyDescent="0.3">
      <c r="A67" s="3" t="s">
        <v>650</v>
      </c>
      <c r="B67" s="3" t="s">
        <v>651</v>
      </c>
      <c r="C67" s="3" t="s">
        <v>652</v>
      </c>
      <c r="D67" s="3" t="s">
        <v>653</v>
      </c>
      <c r="E67" s="3" t="s">
        <v>654</v>
      </c>
      <c r="F67" s="3" t="s">
        <v>655</v>
      </c>
      <c r="G67" s="3">
        <v>1</v>
      </c>
      <c r="H67" s="3">
        <f t="shared" ca="1" si="2"/>
        <v>0.29675346180238382</v>
      </c>
      <c r="I67" s="3" t="str">
        <f>LEFT(표3[[#This Row],[번호]],1)</f>
        <v>B</v>
      </c>
      <c r="J67" s="3">
        <f>COUNTIF(문제보기!B:B,표3[[#This Row],[번호]])</f>
        <v>1</v>
      </c>
      <c r="K67" s="6">
        <f>IFERROR(COUNTIFS(문제보기!B:B,표3[[#This Row],[번호]],문제보기!E:E,"O")/표3[[#This Row],[출제횟수]],0)</f>
        <v>1</v>
      </c>
    </row>
    <row r="68" spans="1:11" x14ac:dyDescent="0.3">
      <c r="A68" s="3" t="s">
        <v>656</v>
      </c>
      <c r="B68" s="3" t="s">
        <v>657</v>
      </c>
      <c r="C68" s="3" t="s">
        <v>658</v>
      </c>
      <c r="D68" s="3" t="s">
        <v>659</v>
      </c>
      <c r="E68" s="3" t="s">
        <v>660</v>
      </c>
      <c r="F68" s="3" t="s">
        <v>661</v>
      </c>
      <c r="G68" s="3">
        <v>1</v>
      </c>
      <c r="H68" s="3">
        <f t="shared" ca="1" si="2"/>
        <v>0.77572669631512192</v>
      </c>
      <c r="I68" s="3" t="str">
        <f>LEFT(표3[[#This Row],[번호]],1)</f>
        <v>B</v>
      </c>
      <c r="J68" s="3">
        <f>COUNTIF(문제보기!B:B,표3[[#This Row],[번호]])</f>
        <v>1</v>
      </c>
      <c r="K68" s="6">
        <f>IFERROR(COUNTIFS(문제보기!B:B,표3[[#This Row],[번호]],문제보기!E:E,"O")/표3[[#This Row],[출제횟수]],0)</f>
        <v>0</v>
      </c>
    </row>
    <row r="69" spans="1:11" x14ac:dyDescent="0.3">
      <c r="A69" s="3" t="s">
        <v>662</v>
      </c>
      <c r="B69" s="3" t="s">
        <v>663</v>
      </c>
      <c r="C69" s="3" t="s">
        <v>664</v>
      </c>
      <c r="D69" s="3" t="s">
        <v>585</v>
      </c>
      <c r="E69" s="3" t="s">
        <v>501</v>
      </c>
      <c r="F69" s="3" t="s">
        <v>665</v>
      </c>
      <c r="G69" s="3">
        <v>2</v>
      </c>
      <c r="H69" s="3">
        <f t="shared" ca="1" si="2"/>
        <v>0.40605726502482786</v>
      </c>
      <c r="I69" s="3" t="str">
        <f>LEFT(표3[[#This Row],[번호]],1)</f>
        <v>B</v>
      </c>
      <c r="J69" s="3">
        <f>COUNTIF(문제보기!B:B,표3[[#This Row],[번호]])</f>
        <v>2</v>
      </c>
      <c r="K69" s="6">
        <f>IFERROR(COUNTIFS(문제보기!B:B,표3[[#This Row],[번호]],문제보기!E:E,"O")/표3[[#This Row],[출제횟수]],0)</f>
        <v>0.5</v>
      </c>
    </row>
    <row r="70" spans="1:11" x14ac:dyDescent="0.3">
      <c r="A70" s="3" t="s">
        <v>666</v>
      </c>
      <c r="B70" s="3" t="s">
        <v>667</v>
      </c>
      <c r="C70" s="3" t="s">
        <v>668</v>
      </c>
      <c r="D70" s="3" t="s">
        <v>669</v>
      </c>
      <c r="E70" s="3" t="s">
        <v>670</v>
      </c>
      <c r="F70" s="3" t="s">
        <v>671</v>
      </c>
      <c r="G70" s="3">
        <v>4</v>
      </c>
      <c r="H70" s="3">
        <f t="shared" ca="1" si="2"/>
        <v>0.28171208823882643</v>
      </c>
      <c r="I70" s="3" t="str">
        <f>LEFT(표3[[#This Row],[번호]],1)</f>
        <v>B</v>
      </c>
      <c r="J70" s="3">
        <f>COUNTIF(문제보기!B:B,표3[[#This Row],[번호]])</f>
        <v>5</v>
      </c>
      <c r="K70" s="6">
        <f>IFERROR(COUNTIFS(문제보기!B:B,표3[[#This Row],[번호]],문제보기!E:E,"O")/표3[[#This Row],[출제횟수]],0)</f>
        <v>0.6</v>
      </c>
    </row>
    <row r="71" spans="1:11" x14ac:dyDescent="0.3">
      <c r="A71" s="3" t="s">
        <v>672</v>
      </c>
      <c r="B71" s="3" t="s">
        <v>673</v>
      </c>
      <c r="C71" s="3" t="s">
        <v>674</v>
      </c>
      <c r="D71" s="3" t="s">
        <v>675</v>
      </c>
      <c r="E71" s="3" t="s">
        <v>676</v>
      </c>
      <c r="F71" s="3" t="s">
        <v>677</v>
      </c>
      <c r="G71" s="3">
        <v>4</v>
      </c>
      <c r="H71" s="3">
        <f t="shared" ca="1" si="2"/>
        <v>8.8991560269297221E-2</v>
      </c>
      <c r="I71" s="3" t="str">
        <f>LEFT(표3[[#This Row],[번호]],1)</f>
        <v>B</v>
      </c>
      <c r="J71" s="3">
        <f>COUNTIF(문제보기!B:B,표3[[#This Row],[번호]])</f>
        <v>2</v>
      </c>
      <c r="K71" s="6">
        <f>IFERROR(COUNTIFS(문제보기!B:B,표3[[#This Row],[번호]],문제보기!E:E,"O")/표3[[#This Row],[출제횟수]],0)</f>
        <v>0</v>
      </c>
    </row>
    <row r="72" spans="1:11" x14ac:dyDescent="0.3">
      <c r="A72" s="3" t="s">
        <v>678</v>
      </c>
      <c r="B72" s="3" t="s">
        <v>679</v>
      </c>
      <c r="C72" s="3" t="s">
        <v>342</v>
      </c>
      <c r="D72" s="3" t="s">
        <v>345</v>
      </c>
      <c r="E72" s="3" t="s">
        <v>680</v>
      </c>
      <c r="F72" s="3" t="s">
        <v>681</v>
      </c>
      <c r="G72" s="3">
        <v>3</v>
      </c>
      <c r="H72" s="3">
        <f t="shared" ca="1" si="2"/>
        <v>0.82680669160168707</v>
      </c>
      <c r="I72" s="3" t="str">
        <f>LEFT(표3[[#This Row],[번호]],1)</f>
        <v>B</v>
      </c>
      <c r="J72" s="3">
        <f>COUNTIF(문제보기!B:B,표3[[#This Row],[번호]])</f>
        <v>0</v>
      </c>
      <c r="K72" s="6">
        <f>IFERROR(COUNTIFS(문제보기!B:B,표3[[#This Row],[번호]],문제보기!E:E,"O")/표3[[#This Row],[출제횟수]],0)</f>
        <v>0</v>
      </c>
    </row>
    <row r="73" spans="1:11" x14ac:dyDescent="0.3">
      <c r="A73" s="3" t="s">
        <v>682</v>
      </c>
      <c r="B73" s="3" t="s">
        <v>683</v>
      </c>
      <c r="C73" s="3" t="s">
        <v>684</v>
      </c>
      <c r="D73" s="3" t="s">
        <v>685</v>
      </c>
      <c r="E73" s="3" t="s">
        <v>686</v>
      </c>
      <c r="F73" s="3" t="s">
        <v>687</v>
      </c>
      <c r="G73" s="3">
        <v>2</v>
      </c>
      <c r="H73" s="3">
        <f t="shared" ca="1" si="2"/>
        <v>0.53090539218389921</v>
      </c>
      <c r="I73" s="3" t="str">
        <f>LEFT(표3[[#This Row],[번호]],1)</f>
        <v>B</v>
      </c>
      <c r="J73" s="3">
        <f>COUNTIF(문제보기!B:B,표3[[#This Row],[번호]])</f>
        <v>3</v>
      </c>
      <c r="K73" s="6">
        <f>IFERROR(COUNTIFS(문제보기!B:B,표3[[#This Row],[번호]],문제보기!E:E,"O")/표3[[#This Row],[출제횟수]],0)</f>
        <v>0.66666666666666663</v>
      </c>
    </row>
    <row r="74" spans="1:11" x14ac:dyDescent="0.3">
      <c r="A74" s="3" t="s">
        <v>688</v>
      </c>
      <c r="B74" s="3" t="s">
        <v>689</v>
      </c>
      <c r="C74" s="3" t="s">
        <v>690</v>
      </c>
      <c r="D74" s="3" t="s">
        <v>691</v>
      </c>
      <c r="E74" s="3" t="s">
        <v>692</v>
      </c>
      <c r="F74" s="3" t="s">
        <v>693</v>
      </c>
      <c r="G74" s="3">
        <v>2</v>
      </c>
      <c r="H74" s="3">
        <f t="shared" ca="1" si="2"/>
        <v>0.69689621549592862</v>
      </c>
      <c r="I74" s="3" t="str">
        <f>LEFT(표3[[#This Row],[번호]],1)</f>
        <v>B</v>
      </c>
      <c r="J74" s="3">
        <f>COUNTIF(문제보기!B:B,표3[[#This Row],[번호]])</f>
        <v>2</v>
      </c>
      <c r="K74" s="6">
        <f>IFERROR(COUNTIFS(문제보기!B:B,표3[[#This Row],[번호]],문제보기!E:E,"O")/표3[[#This Row],[출제횟수]],0)</f>
        <v>0</v>
      </c>
    </row>
    <row r="75" spans="1:11" x14ac:dyDescent="0.3">
      <c r="A75" s="3" t="s">
        <v>694</v>
      </c>
      <c r="B75" s="3" t="s">
        <v>695</v>
      </c>
      <c r="C75" s="3" t="s">
        <v>696</v>
      </c>
      <c r="D75" s="3" t="s">
        <v>697</v>
      </c>
      <c r="E75" s="3" t="s">
        <v>698</v>
      </c>
      <c r="F75" s="3" t="s">
        <v>699</v>
      </c>
      <c r="G75" s="3">
        <v>1</v>
      </c>
      <c r="H75" s="3">
        <f t="shared" ca="1" si="2"/>
        <v>7.9022467654260242E-2</v>
      </c>
      <c r="I75" s="3" t="str">
        <f>LEFT(표3[[#This Row],[번호]],1)</f>
        <v>B</v>
      </c>
      <c r="J75" s="3">
        <f>COUNTIF(문제보기!B:B,표3[[#This Row],[번호]])</f>
        <v>3</v>
      </c>
      <c r="K75" s="6">
        <f>IFERROR(COUNTIFS(문제보기!B:B,표3[[#This Row],[번호]],문제보기!E:E,"O")/표3[[#This Row],[출제횟수]],0)</f>
        <v>0.33333333333333331</v>
      </c>
    </row>
    <row r="76" spans="1:11" x14ac:dyDescent="0.3">
      <c r="A76" s="3" t="s">
        <v>700</v>
      </c>
      <c r="B76" s="3" t="s">
        <v>701</v>
      </c>
      <c r="C76" s="3" t="s">
        <v>702</v>
      </c>
      <c r="D76" s="3" t="s">
        <v>703</v>
      </c>
      <c r="E76" s="3" t="s">
        <v>704</v>
      </c>
      <c r="F76" s="3" t="s">
        <v>705</v>
      </c>
      <c r="G76" s="3">
        <v>4</v>
      </c>
      <c r="H76" s="3">
        <f t="shared" ca="1" si="2"/>
        <v>0.92070606501096297</v>
      </c>
      <c r="I76" s="3" t="str">
        <f>LEFT(표3[[#This Row],[번호]],1)</f>
        <v>B</v>
      </c>
      <c r="J76" s="3">
        <f>COUNTIF(문제보기!B:B,표3[[#This Row],[번호]])</f>
        <v>0</v>
      </c>
      <c r="K76" s="6">
        <f>IFERROR(COUNTIFS(문제보기!B:B,표3[[#This Row],[번호]],문제보기!E:E,"O")/표3[[#This Row],[출제횟수]],0)</f>
        <v>0</v>
      </c>
    </row>
    <row r="77" spans="1:11" x14ac:dyDescent="0.3">
      <c r="A77" s="3" t="s">
        <v>706</v>
      </c>
      <c r="B77" s="3" t="s">
        <v>707</v>
      </c>
      <c r="C77" s="3" t="s">
        <v>708</v>
      </c>
      <c r="D77" s="3" t="s">
        <v>709</v>
      </c>
      <c r="E77" s="3" t="s">
        <v>710</v>
      </c>
      <c r="F77" s="3" t="s">
        <v>711</v>
      </c>
      <c r="G77" s="3">
        <v>3</v>
      </c>
      <c r="H77" s="3">
        <f t="shared" ca="1" si="2"/>
        <v>2.8197917468327116E-2</v>
      </c>
      <c r="I77" s="3" t="str">
        <f>LEFT(표3[[#This Row],[번호]],1)</f>
        <v>B</v>
      </c>
      <c r="J77" s="3">
        <f>COUNTIF(문제보기!B:B,표3[[#This Row],[번호]])</f>
        <v>0</v>
      </c>
      <c r="K77" s="6">
        <f>IFERROR(COUNTIFS(문제보기!B:B,표3[[#This Row],[번호]],문제보기!E:E,"O")/표3[[#This Row],[출제횟수]],0)</f>
        <v>0</v>
      </c>
    </row>
    <row r="78" spans="1:11" x14ac:dyDescent="0.3">
      <c r="A78" s="3" t="s">
        <v>712</v>
      </c>
      <c r="B78" s="3" t="s">
        <v>713</v>
      </c>
      <c r="C78" s="3" t="s">
        <v>714</v>
      </c>
      <c r="D78" s="3" t="s">
        <v>715</v>
      </c>
      <c r="E78" s="3" t="s">
        <v>716</v>
      </c>
      <c r="F78" s="3" t="s">
        <v>717</v>
      </c>
      <c r="G78" s="3">
        <v>2</v>
      </c>
      <c r="H78" s="3">
        <f t="shared" ca="1" si="2"/>
        <v>0.78305179162085581</v>
      </c>
      <c r="I78" s="3" t="str">
        <f>LEFT(표3[[#This Row],[번호]],1)</f>
        <v>B</v>
      </c>
      <c r="J78" s="3">
        <f>COUNTIF(문제보기!B:B,표3[[#This Row],[번호]])</f>
        <v>1</v>
      </c>
      <c r="K78" s="6">
        <f>IFERROR(COUNTIFS(문제보기!B:B,표3[[#This Row],[번호]],문제보기!E:E,"O")/표3[[#This Row],[출제횟수]],0)</f>
        <v>1</v>
      </c>
    </row>
    <row r="79" spans="1:11" x14ac:dyDescent="0.3">
      <c r="A79" s="3" t="s">
        <v>718</v>
      </c>
      <c r="B79" s="3" t="s">
        <v>719</v>
      </c>
      <c r="C79" s="3" t="s">
        <v>720</v>
      </c>
      <c r="D79" s="3" t="s">
        <v>721</v>
      </c>
      <c r="E79" s="3" t="s">
        <v>722</v>
      </c>
      <c r="F79" s="3" t="s">
        <v>723</v>
      </c>
      <c r="G79" s="3">
        <v>3</v>
      </c>
      <c r="H79" s="3">
        <f t="shared" ca="1" si="2"/>
        <v>0.80113565079674343</v>
      </c>
      <c r="I79" s="3" t="str">
        <f>LEFT(표3[[#This Row],[번호]],1)</f>
        <v>B</v>
      </c>
      <c r="J79" s="3">
        <f>COUNTIF(문제보기!B:B,표3[[#This Row],[번호]])</f>
        <v>1</v>
      </c>
      <c r="K79" s="6">
        <f>IFERROR(COUNTIFS(문제보기!B:B,표3[[#This Row],[번호]],문제보기!E:E,"O")/표3[[#This Row],[출제횟수]],0)</f>
        <v>1</v>
      </c>
    </row>
    <row r="80" spans="1:11" x14ac:dyDescent="0.3">
      <c r="A80" s="3" t="s">
        <v>724</v>
      </c>
      <c r="B80" s="3" t="s">
        <v>725</v>
      </c>
      <c r="C80" s="3" t="s">
        <v>726</v>
      </c>
      <c r="D80" s="3" t="s">
        <v>727</v>
      </c>
      <c r="E80" s="3" t="s">
        <v>728</v>
      </c>
      <c r="F80" s="3" t="s">
        <v>729</v>
      </c>
      <c r="G80" s="3">
        <v>3</v>
      </c>
      <c r="H80" s="3">
        <f t="shared" ca="1" si="2"/>
        <v>0.549955222237689</v>
      </c>
      <c r="I80" s="3" t="str">
        <f>LEFT(표3[[#This Row],[번호]],1)</f>
        <v>B</v>
      </c>
      <c r="J80" s="3">
        <f>COUNTIF(문제보기!B:B,표3[[#This Row],[번호]])</f>
        <v>3</v>
      </c>
      <c r="K80" s="6">
        <f>IFERROR(COUNTIFS(문제보기!B:B,표3[[#This Row],[번호]],문제보기!E:E,"O")/표3[[#This Row],[출제횟수]],0)</f>
        <v>0</v>
      </c>
    </row>
    <row r="81" spans="1:11" x14ac:dyDescent="0.3">
      <c r="A81" s="3" t="s">
        <v>730</v>
      </c>
      <c r="B81" s="3" t="s">
        <v>731</v>
      </c>
      <c r="C81" s="3" t="s">
        <v>732</v>
      </c>
      <c r="D81" s="3" t="s">
        <v>727</v>
      </c>
      <c r="E81" s="3" t="s">
        <v>729</v>
      </c>
      <c r="F81" s="3" t="s">
        <v>733</v>
      </c>
      <c r="G81" s="3">
        <v>2</v>
      </c>
      <c r="H81" s="3">
        <f t="shared" ca="1" si="2"/>
        <v>0.31474587273839549</v>
      </c>
      <c r="I81" s="3" t="str">
        <f>LEFT(표3[[#This Row],[번호]],1)</f>
        <v>B</v>
      </c>
      <c r="J81" s="3">
        <f>COUNTIF(문제보기!B:B,표3[[#This Row],[번호]])</f>
        <v>8</v>
      </c>
      <c r="K81" s="6">
        <f>IFERROR(COUNTIFS(문제보기!B:B,표3[[#This Row],[번호]],문제보기!E:E,"O")/표3[[#This Row],[출제횟수]],0)</f>
        <v>0.875</v>
      </c>
    </row>
    <row r="82" spans="1:11" x14ac:dyDescent="0.3">
      <c r="A82" s="3" t="s">
        <v>734</v>
      </c>
      <c r="B82" s="3" t="s">
        <v>735</v>
      </c>
      <c r="C82" s="3" t="s">
        <v>736</v>
      </c>
      <c r="D82" s="3" t="s">
        <v>737</v>
      </c>
      <c r="E82" s="3" t="s">
        <v>738</v>
      </c>
      <c r="F82" s="3" t="s">
        <v>739</v>
      </c>
      <c r="G82" s="3">
        <v>3</v>
      </c>
      <c r="H82" s="3">
        <f t="shared" ca="1" si="2"/>
        <v>0.78153274426467501</v>
      </c>
      <c r="I82" s="3" t="str">
        <f>LEFT(표3[[#This Row],[번호]],1)</f>
        <v>C</v>
      </c>
      <c r="J82" s="3">
        <f>COUNTIF(문제보기!B:B,표3[[#This Row],[번호]])</f>
        <v>12</v>
      </c>
      <c r="K82" s="6">
        <f>IFERROR(COUNTIFS(문제보기!B:B,표3[[#This Row],[번호]],문제보기!E:E,"O")/표3[[#This Row],[출제횟수]],0)</f>
        <v>0.75</v>
      </c>
    </row>
    <row r="83" spans="1:11" x14ac:dyDescent="0.3">
      <c r="A83" s="3" t="s">
        <v>740</v>
      </c>
      <c r="B83" s="3" t="s">
        <v>741</v>
      </c>
      <c r="C83" s="3" t="s">
        <v>742</v>
      </c>
      <c r="D83" s="3" t="s">
        <v>743</v>
      </c>
      <c r="E83" s="3" t="s">
        <v>744</v>
      </c>
      <c r="F83" s="3" t="s">
        <v>745</v>
      </c>
      <c r="G83" s="3">
        <v>4</v>
      </c>
      <c r="H83" s="3">
        <f t="shared" ca="1" si="2"/>
        <v>0.78738366083620903</v>
      </c>
      <c r="I83" s="3" t="str">
        <f>LEFT(표3[[#This Row],[번호]],1)</f>
        <v>C</v>
      </c>
      <c r="J83" s="3">
        <f>COUNTIF(문제보기!B:B,표3[[#This Row],[번호]])</f>
        <v>9</v>
      </c>
      <c r="K83" s="6">
        <f>IFERROR(COUNTIFS(문제보기!B:B,표3[[#This Row],[번호]],문제보기!E:E,"O")/표3[[#This Row],[출제횟수]],0)</f>
        <v>0.77777777777777779</v>
      </c>
    </row>
    <row r="84" spans="1:11" x14ac:dyDescent="0.3">
      <c r="A84" s="3" t="s">
        <v>746</v>
      </c>
      <c r="B84" s="3" t="s">
        <v>747</v>
      </c>
      <c r="C84" s="3" t="s">
        <v>748</v>
      </c>
      <c r="D84" s="3" t="s">
        <v>749</v>
      </c>
      <c r="E84" s="3" t="s">
        <v>750</v>
      </c>
      <c r="F84" s="3" t="s">
        <v>751</v>
      </c>
      <c r="G84" s="3">
        <v>1</v>
      </c>
      <c r="H84" s="3">
        <f t="shared" ca="1" si="2"/>
        <v>2.511337158443705E-2</v>
      </c>
      <c r="I84" s="3" t="str">
        <f>LEFT(표3[[#This Row],[번호]],1)</f>
        <v>C</v>
      </c>
      <c r="J84" s="3">
        <f>COUNTIF(문제보기!B:B,표3[[#This Row],[번호]])</f>
        <v>3</v>
      </c>
      <c r="K84" s="6">
        <f>IFERROR(COUNTIFS(문제보기!B:B,표3[[#This Row],[번호]],문제보기!E:E,"O")/표3[[#This Row],[출제횟수]],0)</f>
        <v>0</v>
      </c>
    </row>
    <row r="85" spans="1:11" x14ac:dyDescent="0.3">
      <c r="A85" s="3" t="s">
        <v>752</v>
      </c>
      <c r="B85" s="3" t="s">
        <v>753</v>
      </c>
      <c r="C85" s="3" t="s">
        <v>754</v>
      </c>
      <c r="D85" s="3" t="s">
        <v>755</v>
      </c>
      <c r="E85" s="3" t="s">
        <v>756</v>
      </c>
      <c r="F85" s="3" t="s">
        <v>757</v>
      </c>
      <c r="G85" s="3">
        <v>1</v>
      </c>
      <c r="H85" s="3">
        <f t="shared" ca="1" si="2"/>
        <v>0.28325697657784532</v>
      </c>
      <c r="I85" s="3" t="str">
        <f>LEFT(표3[[#This Row],[번호]],1)</f>
        <v>C</v>
      </c>
      <c r="J85" s="3">
        <f>COUNTIF(문제보기!B:B,표3[[#This Row],[번호]])</f>
        <v>11</v>
      </c>
      <c r="K85" s="6">
        <f>IFERROR(COUNTIFS(문제보기!B:B,표3[[#This Row],[번호]],문제보기!E:E,"O")/표3[[#This Row],[출제횟수]],0)</f>
        <v>0.54545454545454541</v>
      </c>
    </row>
    <row r="86" spans="1:11" x14ac:dyDescent="0.3">
      <c r="A86" s="3" t="s">
        <v>758</v>
      </c>
      <c r="B86" s="3" t="s">
        <v>759</v>
      </c>
      <c r="C86" s="3" t="s">
        <v>760</v>
      </c>
      <c r="D86" s="3" t="s">
        <v>761</v>
      </c>
      <c r="E86" s="3" t="s">
        <v>762</v>
      </c>
      <c r="F86" s="3" t="s">
        <v>763</v>
      </c>
      <c r="G86" s="3">
        <v>3</v>
      </c>
      <c r="H86" s="3">
        <f t="shared" ca="1" si="2"/>
        <v>0.8752042659016479</v>
      </c>
      <c r="I86" s="3" t="str">
        <f>LEFT(표3[[#This Row],[번호]],1)</f>
        <v>C</v>
      </c>
      <c r="J86" s="3">
        <f>COUNTIF(문제보기!B:B,표3[[#This Row],[번호]])</f>
        <v>5</v>
      </c>
      <c r="K86" s="6">
        <f>IFERROR(COUNTIFS(문제보기!B:B,표3[[#This Row],[번호]],문제보기!E:E,"O")/표3[[#This Row],[출제횟수]],0)</f>
        <v>0.6</v>
      </c>
    </row>
    <row r="87" spans="1:11" x14ac:dyDescent="0.3">
      <c r="A87" s="3" t="s">
        <v>764</v>
      </c>
      <c r="B87" s="3" t="s">
        <v>765</v>
      </c>
      <c r="C87" s="3" t="s">
        <v>766</v>
      </c>
      <c r="D87" s="3" t="s">
        <v>767</v>
      </c>
      <c r="E87" s="3" t="s">
        <v>768</v>
      </c>
      <c r="F87" s="3" t="s">
        <v>769</v>
      </c>
      <c r="G87" s="3">
        <v>1</v>
      </c>
      <c r="H87" s="3">
        <f t="shared" ca="1" si="2"/>
        <v>0.20419697218657884</v>
      </c>
      <c r="I87" s="3" t="str">
        <f>LEFT(표3[[#This Row],[번호]],1)</f>
        <v>C</v>
      </c>
      <c r="J87" s="3">
        <f>COUNTIF(문제보기!B:B,표3[[#This Row],[번호]])</f>
        <v>3</v>
      </c>
      <c r="K87" s="6">
        <f>IFERROR(COUNTIFS(문제보기!B:B,표3[[#This Row],[번호]],문제보기!E:E,"O")/표3[[#This Row],[출제횟수]],0)</f>
        <v>1</v>
      </c>
    </row>
    <row r="88" spans="1:11" x14ac:dyDescent="0.3">
      <c r="A88" s="3" t="s">
        <v>770</v>
      </c>
      <c r="B88" s="3" t="s">
        <v>771</v>
      </c>
      <c r="C88" s="3" t="s">
        <v>772</v>
      </c>
      <c r="D88" s="3" t="s">
        <v>773</v>
      </c>
      <c r="E88" s="3" t="s">
        <v>774</v>
      </c>
      <c r="F88" s="3" t="s">
        <v>775</v>
      </c>
      <c r="G88" s="3">
        <v>2</v>
      </c>
      <c r="H88" s="3">
        <f t="shared" ca="1" si="2"/>
        <v>0.50436936988857894</v>
      </c>
      <c r="I88" s="3" t="str">
        <f>LEFT(표3[[#This Row],[번호]],1)</f>
        <v>C</v>
      </c>
      <c r="J88" s="3">
        <f>COUNTIF(문제보기!B:B,표3[[#This Row],[번호]])</f>
        <v>3</v>
      </c>
      <c r="K88" s="6">
        <f>IFERROR(COUNTIFS(문제보기!B:B,표3[[#This Row],[번호]],문제보기!E:E,"O")/표3[[#This Row],[출제횟수]],0)</f>
        <v>1</v>
      </c>
    </row>
    <row r="89" spans="1:11" x14ac:dyDescent="0.3">
      <c r="A89" s="3" t="s">
        <v>776</v>
      </c>
      <c r="B89" s="3" t="s">
        <v>777</v>
      </c>
      <c r="C89" s="3" t="s">
        <v>778</v>
      </c>
      <c r="D89" s="3" t="s">
        <v>779</v>
      </c>
      <c r="E89" s="3" t="s">
        <v>780</v>
      </c>
      <c r="F89" s="3" t="s">
        <v>781</v>
      </c>
      <c r="G89" s="3">
        <v>3</v>
      </c>
      <c r="H89" s="3">
        <f t="shared" ca="1" si="2"/>
        <v>0.47451381806346793</v>
      </c>
      <c r="I89" s="3" t="str">
        <f>LEFT(표3[[#This Row],[번호]],1)</f>
        <v>C</v>
      </c>
      <c r="J89" s="3">
        <f>COUNTIF(문제보기!B:B,표3[[#This Row],[번호]])</f>
        <v>4</v>
      </c>
      <c r="K89" s="6">
        <f>IFERROR(COUNTIFS(문제보기!B:B,표3[[#This Row],[번호]],문제보기!E:E,"O")/표3[[#This Row],[출제횟수]],0)</f>
        <v>1</v>
      </c>
    </row>
    <row r="90" spans="1:11" x14ac:dyDescent="0.3">
      <c r="A90" s="3" t="s">
        <v>782</v>
      </c>
      <c r="B90" s="3" t="s">
        <v>783</v>
      </c>
      <c r="C90" s="3" t="s">
        <v>784</v>
      </c>
      <c r="D90" s="3" t="s">
        <v>785</v>
      </c>
      <c r="E90" s="3" t="s">
        <v>786</v>
      </c>
      <c r="F90" s="3" t="s">
        <v>787</v>
      </c>
      <c r="G90" s="3">
        <v>4</v>
      </c>
      <c r="H90" s="3">
        <f t="shared" ca="1" si="2"/>
        <v>0.62556373092381845</v>
      </c>
      <c r="I90" s="3" t="str">
        <f>LEFT(표3[[#This Row],[번호]],1)</f>
        <v>C</v>
      </c>
      <c r="J90" s="3">
        <f>COUNTIF(문제보기!B:B,표3[[#This Row],[번호]])</f>
        <v>5</v>
      </c>
      <c r="K90" s="6">
        <f>IFERROR(COUNTIFS(문제보기!B:B,표3[[#This Row],[번호]],문제보기!E:E,"O")/표3[[#This Row],[출제횟수]],0)</f>
        <v>1</v>
      </c>
    </row>
    <row r="91" spans="1:11" x14ac:dyDescent="0.3">
      <c r="A91" s="3" t="s">
        <v>788</v>
      </c>
      <c r="B91" s="3" t="s">
        <v>789</v>
      </c>
      <c r="C91" s="3" t="s">
        <v>790</v>
      </c>
      <c r="D91" s="3" t="s">
        <v>791</v>
      </c>
      <c r="E91" s="3" t="s">
        <v>792</v>
      </c>
      <c r="F91" s="3" t="s">
        <v>793</v>
      </c>
      <c r="G91" s="3">
        <v>3</v>
      </c>
      <c r="H91" s="3">
        <f t="shared" ca="1" si="2"/>
        <v>0.91768123235464572</v>
      </c>
      <c r="I91" s="3" t="str">
        <f>LEFT(표3[[#This Row],[번호]],1)</f>
        <v>C</v>
      </c>
      <c r="J91" s="3">
        <f>COUNTIF(문제보기!B:B,표3[[#This Row],[번호]])</f>
        <v>3</v>
      </c>
      <c r="K91" s="6">
        <f>IFERROR(COUNTIFS(문제보기!B:B,표3[[#This Row],[번호]],문제보기!E:E,"O")/표3[[#This Row],[출제횟수]],0)</f>
        <v>1</v>
      </c>
    </row>
    <row r="92" spans="1:11" x14ac:dyDescent="0.3">
      <c r="A92" s="3" t="s">
        <v>794</v>
      </c>
      <c r="B92" s="3" t="s">
        <v>795</v>
      </c>
      <c r="C92" s="3" t="s">
        <v>796</v>
      </c>
      <c r="D92" s="3" t="s">
        <v>797</v>
      </c>
      <c r="E92" s="3" t="s">
        <v>798</v>
      </c>
      <c r="F92" s="3" t="s">
        <v>799</v>
      </c>
      <c r="G92" s="3">
        <v>4</v>
      </c>
      <c r="H92" s="3">
        <f t="shared" ca="1" si="2"/>
        <v>0.46992607638944239</v>
      </c>
      <c r="I92" s="3" t="str">
        <f>LEFT(표3[[#This Row],[번호]],1)</f>
        <v>C</v>
      </c>
      <c r="J92" s="3">
        <f>COUNTIF(문제보기!B:B,표3[[#This Row],[번호]])</f>
        <v>1</v>
      </c>
      <c r="K92" s="6">
        <f>IFERROR(COUNTIFS(문제보기!B:B,표3[[#This Row],[번호]],문제보기!E:E,"O")/표3[[#This Row],[출제횟수]],0)</f>
        <v>0</v>
      </c>
    </row>
    <row r="93" spans="1:11" x14ac:dyDescent="0.3">
      <c r="A93" s="3" t="s">
        <v>800</v>
      </c>
      <c r="B93" s="3" t="s">
        <v>801</v>
      </c>
      <c r="C93" s="3" t="s">
        <v>445</v>
      </c>
      <c r="D93" s="3" t="s">
        <v>321</v>
      </c>
      <c r="E93" s="3" t="s">
        <v>802</v>
      </c>
      <c r="F93" s="3" t="s">
        <v>803</v>
      </c>
      <c r="G93" s="3">
        <v>1</v>
      </c>
      <c r="H93" s="3">
        <f t="shared" ca="1" si="2"/>
        <v>0.4528977345453743</v>
      </c>
      <c r="I93" s="3" t="str">
        <f>LEFT(표3[[#This Row],[번호]],1)</f>
        <v>C</v>
      </c>
      <c r="J93" s="3">
        <f>COUNTIF(문제보기!B:B,표3[[#This Row],[번호]])</f>
        <v>0</v>
      </c>
      <c r="K93" s="6">
        <f>IFERROR(COUNTIFS(문제보기!B:B,표3[[#This Row],[번호]],문제보기!E:E,"O")/표3[[#This Row],[출제횟수]],0)</f>
        <v>0</v>
      </c>
    </row>
    <row r="94" spans="1:11" x14ac:dyDescent="0.3">
      <c r="A94" s="3" t="s">
        <v>804</v>
      </c>
      <c r="B94" s="3" t="s">
        <v>805</v>
      </c>
      <c r="C94" s="3" t="s">
        <v>806</v>
      </c>
      <c r="D94" s="3" t="s">
        <v>807</v>
      </c>
      <c r="E94" s="3" t="s">
        <v>808</v>
      </c>
      <c r="F94" s="3" t="s">
        <v>809</v>
      </c>
      <c r="G94" s="3">
        <v>1</v>
      </c>
      <c r="H94" s="3">
        <f t="shared" ca="1" si="2"/>
        <v>0.68433520756088384</v>
      </c>
      <c r="I94" s="3" t="str">
        <f>LEFT(표3[[#This Row],[번호]],1)</f>
        <v>C</v>
      </c>
      <c r="J94" s="3">
        <f>COUNTIF(문제보기!B:B,표3[[#This Row],[번호]])</f>
        <v>0</v>
      </c>
      <c r="K94" s="6">
        <f>IFERROR(COUNTIFS(문제보기!B:B,표3[[#This Row],[번호]],문제보기!E:E,"O")/표3[[#This Row],[출제횟수]],0)</f>
        <v>0</v>
      </c>
    </row>
    <row r="95" spans="1:11" x14ac:dyDescent="0.3">
      <c r="A95" s="3" t="s">
        <v>810</v>
      </c>
      <c r="B95" s="3" t="s">
        <v>811</v>
      </c>
      <c r="C95" s="3" t="s">
        <v>812</v>
      </c>
      <c r="D95" s="3" t="s">
        <v>813</v>
      </c>
      <c r="E95" s="3" t="s">
        <v>814</v>
      </c>
      <c r="F95" s="3" t="s">
        <v>815</v>
      </c>
      <c r="G95" s="3">
        <v>4</v>
      </c>
      <c r="H95" s="3">
        <f t="shared" ca="1" si="2"/>
        <v>0.55804081975007525</v>
      </c>
      <c r="I95" s="3" t="str">
        <f>LEFT(표3[[#This Row],[번호]],1)</f>
        <v>C</v>
      </c>
      <c r="J95" s="3">
        <f>COUNTIF(문제보기!B:B,표3[[#This Row],[번호]])</f>
        <v>4</v>
      </c>
      <c r="K95" s="6">
        <f>IFERROR(COUNTIFS(문제보기!B:B,표3[[#This Row],[번호]],문제보기!E:E,"O")/표3[[#This Row],[출제횟수]],0)</f>
        <v>0.5</v>
      </c>
    </row>
    <row r="96" spans="1:11" x14ac:dyDescent="0.3">
      <c r="A96" s="3" t="s">
        <v>816</v>
      </c>
      <c r="B96" s="3" t="s">
        <v>817</v>
      </c>
      <c r="C96" s="3" t="s">
        <v>818</v>
      </c>
      <c r="D96" s="3" t="s">
        <v>819</v>
      </c>
      <c r="E96" s="3" t="s">
        <v>820</v>
      </c>
      <c r="F96" s="3" t="s">
        <v>821</v>
      </c>
      <c r="G96" s="3">
        <v>1</v>
      </c>
      <c r="H96" s="3">
        <f t="shared" ca="1" si="2"/>
        <v>0.48343452277104115</v>
      </c>
      <c r="I96" s="3" t="str">
        <f>LEFT(표3[[#This Row],[번호]],1)</f>
        <v>C</v>
      </c>
      <c r="J96" s="3">
        <f>COUNTIF(문제보기!B:B,표3[[#This Row],[번호]])</f>
        <v>1</v>
      </c>
      <c r="K96" s="6">
        <f>IFERROR(COUNTIFS(문제보기!B:B,표3[[#This Row],[번호]],문제보기!E:E,"O")/표3[[#This Row],[출제횟수]],0)</f>
        <v>0</v>
      </c>
    </row>
    <row r="97" spans="1:11" x14ac:dyDescent="0.3">
      <c r="A97" s="3" t="s">
        <v>822</v>
      </c>
      <c r="B97" s="3" t="s">
        <v>823</v>
      </c>
      <c r="C97" s="3" t="s">
        <v>824</v>
      </c>
      <c r="D97" s="3" t="s">
        <v>825</v>
      </c>
      <c r="E97" s="3" t="s">
        <v>826</v>
      </c>
      <c r="F97" s="3" t="s">
        <v>827</v>
      </c>
      <c r="G97" s="3">
        <v>3</v>
      </c>
      <c r="H97" s="3">
        <f t="shared" ca="1" si="2"/>
        <v>0.12563234840577975</v>
      </c>
      <c r="I97" s="3" t="str">
        <f>LEFT(표3[[#This Row],[번호]],1)</f>
        <v>C</v>
      </c>
      <c r="J97" s="3">
        <f>COUNTIF(문제보기!B:B,표3[[#This Row],[번호]])</f>
        <v>3</v>
      </c>
      <c r="K97" s="6">
        <f>IFERROR(COUNTIFS(문제보기!B:B,표3[[#This Row],[번호]],문제보기!E:E,"O")/표3[[#This Row],[출제횟수]],0)</f>
        <v>0.33333333333333331</v>
      </c>
    </row>
    <row r="98" spans="1:11" x14ac:dyDescent="0.3">
      <c r="A98" s="3" t="s">
        <v>828</v>
      </c>
      <c r="B98" s="3" t="s">
        <v>829</v>
      </c>
      <c r="C98" s="3" t="s">
        <v>830</v>
      </c>
      <c r="D98" s="3" t="s">
        <v>831</v>
      </c>
      <c r="E98" s="3" t="s">
        <v>832</v>
      </c>
      <c r="F98" s="3" t="s">
        <v>833</v>
      </c>
      <c r="G98" s="3">
        <v>2</v>
      </c>
      <c r="H98" s="3">
        <f t="shared" ref="H98:H120" ca="1" si="3">RAND()</f>
        <v>0.23003146563067434</v>
      </c>
      <c r="I98" s="3" t="str">
        <f>LEFT(표3[[#This Row],[번호]],1)</f>
        <v>C</v>
      </c>
      <c r="J98" s="3">
        <f>COUNTIF(문제보기!B:B,표3[[#This Row],[번호]])</f>
        <v>0</v>
      </c>
      <c r="K98" s="6">
        <f>IFERROR(COUNTIFS(문제보기!B:B,표3[[#This Row],[번호]],문제보기!E:E,"O")/표3[[#This Row],[출제횟수]],0)</f>
        <v>0</v>
      </c>
    </row>
    <row r="99" spans="1:11" x14ac:dyDescent="0.3">
      <c r="A99" s="3" t="s">
        <v>834</v>
      </c>
      <c r="B99" s="3" t="s">
        <v>835</v>
      </c>
      <c r="C99" s="3" t="s">
        <v>836</v>
      </c>
      <c r="D99" s="3" t="s">
        <v>837</v>
      </c>
      <c r="E99" s="3" t="s">
        <v>838</v>
      </c>
      <c r="F99" s="3" t="s">
        <v>839</v>
      </c>
      <c r="G99" s="3">
        <v>1</v>
      </c>
      <c r="H99" s="3">
        <f t="shared" ca="1" si="3"/>
        <v>0.89068267777100485</v>
      </c>
      <c r="I99" s="3" t="str">
        <f>LEFT(표3[[#This Row],[번호]],1)</f>
        <v>C</v>
      </c>
      <c r="J99" s="3">
        <f>COUNTIF(문제보기!B:B,표3[[#This Row],[번호]])</f>
        <v>3</v>
      </c>
      <c r="K99" s="6">
        <f>IFERROR(COUNTIFS(문제보기!B:B,표3[[#This Row],[번호]],문제보기!E:E,"O")/표3[[#This Row],[출제횟수]],0)</f>
        <v>0.33333333333333331</v>
      </c>
    </row>
    <row r="100" spans="1:11" x14ac:dyDescent="0.3">
      <c r="A100" s="3" t="s">
        <v>840</v>
      </c>
      <c r="B100" s="3" t="s">
        <v>841</v>
      </c>
      <c r="C100" s="3" t="s">
        <v>842</v>
      </c>
      <c r="D100" s="3" t="s">
        <v>843</v>
      </c>
      <c r="E100" s="3" t="s">
        <v>844</v>
      </c>
      <c r="F100" s="3" t="s">
        <v>845</v>
      </c>
      <c r="G100" s="3">
        <v>1</v>
      </c>
      <c r="H100" s="3">
        <f t="shared" ca="1" si="3"/>
        <v>0.11113219414641562</v>
      </c>
      <c r="I100" s="3" t="str">
        <f>LEFT(표3[[#This Row],[번호]],1)</f>
        <v>C</v>
      </c>
      <c r="J100" s="3">
        <f>COUNTIF(문제보기!B:B,표3[[#This Row],[번호]])</f>
        <v>7</v>
      </c>
      <c r="K100" s="6">
        <f>IFERROR(COUNTIFS(문제보기!B:B,표3[[#This Row],[번호]],문제보기!E:E,"O")/표3[[#This Row],[출제횟수]],0)</f>
        <v>0.5714285714285714</v>
      </c>
    </row>
    <row r="101" spans="1:11" x14ac:dyDescent="0.3">
      <c r="A101" s="3" t="s">
        <v>846</v>
      </c>
      <c r="B101" s="3" t="s">
        <v>847</v>
      </c>
      <c r="C101" s="3" t="s">
        <v>848</v>
      </c>
      <c r="D101" s="3" t="s">
        <v>849</v>
      </c>
      <c r="E101" s="3" t="s">
        <v>850</v>
      </c>
      <c r="F101" s="3" t="s">
        <v>851</v>
      </c>
      <c r="G101" s="3">
        <v>1</v>
      </c>
      <c r="H101" s="3">
        <f t="shared" ca="1" si="3"/>
        <v>0.4485017690880172</v>
      </c>
      <c r="I101" s="3" t="str">
        <f>LEFT(표3[[#This Row],[번호]],1)</f>
        <v>C</v>
      </c>
      <c r="J101" s="3">
        <f>COUNTIF(문제보기!B:B,표3[[#This Row],[번호]])</f>
        <v>0</v>
      </c>
      <c r="K101" s="6">
        <f>IFERROR(COUNTIFS(문제보기!B:B,표3[[#This Row],[번호]],문제보기!E:E,"O")/표3[[#This Row],[출제횟수]],0)</f>
        <v>0</v>
      </c>
    </row>
    <row r="102" spans="1:11" x14ac:dyDescent="0.3">
      <c r="A102" s="3" t="s">
        <v>852</v>
      </c>
      <c r="B102" s="3" t="s">
        <v>853</v>
      </c>
      <c r="C102" s="3" t="s">
        <v>854</v>
      </c>
      <c r="D102" s="3" t="s">
        <v>855</v>
      </c>
      <c r="E102" s="3" t="s">
        <v>856</v>
      </c>
      <c r="F102" s="3" t="s">
        <v>857</v>
      </c>
      <c r="G102" s="3">
        <v>2</v>
      </c>
      <c r="H102" s="3">
        <f t="shared" ca="1" si="3"/>
        <v>3.8281942989151774E-2</v>
      </c>
      <c r="I102" s="3" t="str">
        <f>LEFT(표3[[#This Row],[번호]],1)</f>
        <v>C</v>
      </c>
      <c r="J102" s="3">
        <f>COUNTIF(문제보기!B:B,표3[[#This Row],[번호]])</f>
        <v>0</v>
      </c>
      <c r="K102" s="6">
        <f>IFERROR(COUNTIFS(문제보기!B:B,표3[[#This Row],[번호]],문제보기!E:E,"O")/표3[[#This Row],[출제횟수]],0)</f>
        <v>0</v>
      </c>
    </row>
    <row r="103" spans="1:11" x14ac:dyDescent="0.3">
      <c r="A103" s="3" t="s">
        <v>858</v>
      </c>
      <c r="B103" s="3" t="s">
        <v>859</v>
      </c>
      <c r="C103" s="6">
        <v>0.5</v>
      </c>
      <c r="D103" s="6">
        <v>0.7</v>
      </c>
      <c r="E103" s="6">
        <v>0.9</v>
      </c>
      <c r="F103" s="6">
        <v>1</v>
      </c>
      <c r="G103" s="3">
        <v>2</v>
      </c>
      <c r="H103" s="3">
        <f t="shared" ca="1" si="3"/>
        <v>0.68061626487891302</v>
      </c>
      <c r="I103" s="3" t="str">
        <f>LEFT(표3[[#This Row],[번호]],1)</f>
        <v>C</v>
      </c>
      <c r="J103" s="3">
        <f>COUNTIF(문제보기!B:B,표3[[#This Row],[번호]])</f>
        <v>6</v>
      </c>
      <c r="K103" s="6">
        <f>IFERROR(COUNTIFS(문제보기!B:B,표3[[#This Row],[번호]],문제보기!E:E,"O")/표3[[#This Row],[출제횟수]],0)</f>
        <v>0.5</v>
      </c>
    </row>
    <row r="104" spans="1:11" x14ac:dyDescent="0.3">
      <c r="A104" s="3" t="s">
        <v>860</v>
      </c>
      <c r="B104" s="3" t="s">
        <v>861</v>
      </c>
      <c r="C104" s="3" t="s">
        <v>862</v>
      </c>
      <c r="D104" s="3" t="s">
        <v>863</v>
      </c>
      <c r="E104" s="3" t="s">
        <v>864</v>
      </c>
      <c r="F104" s="3" t="s">
        <v>865</v>
      </c>
      <c r="G104" s="3">
        <v>4</v>
      </c>
      <c r="H104" s="3">
        <f t="shared" ca="1" si="3"/>
        <v>0.9457559298664806</v>
      </c>
      <c r="I104" s="3" t="str">
        <f>LEFT(표3[[#This Row],[번호]],1)</f>
        <v>C</v>
      </c>
      <c r="J104" s="3">
        <f>COUNTIF(문제보기!B:B,표3[[#This Row],[번호]])</f>
        <v>1</v>
      </c>
      <c r="K104" s="6">
        <f>IFERROR(COUNTIFS(문제보기!B:B,표3[[#This Row],[번호]],문제보기!E:E,"O")/표3[[#This Row],[출제횟수]],0)</f>
        <v>1</v>
      </c>
    </row>
    <row r="105" spans="1:11" x14ac:dyDescent="0.3">
      <c r="A105" s="3" t="s">
        <v>866</v>
      </c>
      <c r="B105" s="3" t="s">
        <v>867</v>
      </c>
      <c r="C105" s="3" t="s">
        <v>502</v>
      </c>
      <c r="D105" s="3" t="s">
        <v>868</v>
      </c>
      <c r="E105" s="3" t="s">
        <v>869</v>
      </c>
      <c r="F105" s="3" t="s">
        <v>870</v>
      </c>
      <c r="G105" s="3">
        <v>1</v>
      </c>
      <c r="H105" s="3">
        <f t="shared" ca="1" si="3"/>
        <v>0.43813053224156429</v>
      </c>
      <c r="I105" s="3" t="str">
        <f>LEFT(표3[[#This Row],[번호]],1)</f>
        <v>C</v>
      </c>
      <c r="J105" s="3">
        <f>COUNTIF(문제보기!B:B,표3[[#This Row],[번호]])</f>
        <v>0</v>
      </c>
      <c r="K105" s="6">
        <f>IFERROR(COUNTIFS(문제보기!B:B,표3[[#This Row],[번호]],문제보기!E:E,"O")/표3[[#This Row],[출제횟수]],0)</f>
        <v>0</v>
      </c>
    </row>
    <row r="106" spans="1:11" x14ac:dyDescent="0.3">
      <c r="A106" s="3" t="s">
        <v>871</v>
      </c>
      <c r="B106" s="3" t="s">
        <v>872</v>
      </c>
      <c r="C106" s="3" t="s">
        <v>873</v>
      </c>
      <c r="D106" s="3" t="s">
        <v>874</v>
      </c>
      <c r="E106" s="3" t="s">
        <v>875</v>
      </c>
      <c r="F106" s="3" t="s">
        <v>876</v>
      </c>
      <c r="G106" s="3">
        <v>1</v>
      </c>
      <c r="H106" s="3">
        <f t="shared" ca="1" si="3"/>
        <v>0.37103552822841213</v>
      </c>
      <c r="I106" s="3" t="str">
        <f>LEFT(표3[[#This Row],[번호]],1)</f>
        <v>C</v>
      </c>
      <c r="J106" s="3">
        <f>COUNTIF(문제보기!B:B,표3[[#This Row],[번호]])</f>
        <v>7</v>
      </c>
      <c r="K106" s="6">
        <f>IFERROR(COUNTIFS(문제보기!B:B,표3[[#This Row],[번호]],문제보기!E:E,"O")/표3[[#This Row],[출제횟수]],0)</f>
        <v>0.5714285714285714</v>
      </c>
    </row>
    <row r="107" spans="1:11" x14ac:dyDescent="0.3">
      <c r="A107" s="3" t="s">
        <v>877</v>
      </c>
      <c r="B107" s="3" t="s">
        <v>878</v>
      </c>
      <c r="C107" s="3" t="s">
        <v>879</v>
      </c>
      <c r="D107" s="3" t="s">
        <v>880</v>
      </c>
      <c r="E107" s="3" t="s">
        <v>881</v>
      </c>
      <c r="F107" s="3" t="s">
        <v>882</v>
      </c>
      <c r="G107" s="3">
        <v>4</v>
      </c>
      <c r="H107" s="3">
        <f t="shared" ca="1" si="3"/>
        <v>0.19376318248951419</v>
      </c>
      <c r="I107" s="3" t="str">
        <f>LEFT(표3[[#This Row],[번호]],1)</f>
        <v>C</v>
      </c>
      <c r="J107" s="3">
        <f>COUNTIF(문제보기!B:B,표3[[#This Row],[번호]])</f>
        <v>3</v>
      </c>
      <c r="K107" s="6">
        <f>IFERROR(COUNTIFS(문제보기!B:B,표3[[#This Row],[번호]],문제보기!E:E,"O")/표3[[#This Row],[출제횟수]],0)</f>
        <v>1</v>
      </c>
    </row>
    <row r="108" spans="1:11" x14ac:dyDescent="0.3">
      <c r="A108" s="3" t="s">
        <v>883</v>
      </c>
      <c r="B108" s="3" t="s">
        <v>884</v>
      </c>
      <c r="C108" s="3" t="s">
        <v>885</v>
      </c>
      <c r="D108" s="3" t="s">
        <v>886</v>
      </c>
      <c r="E108" s="3" t="s">
        <v>887</v>
      </c>
      <c r="F108" s="3" t="s">
        <v>888</v>
      </c>
      <c r="G108" s="3">
        <v>1</v>
      </c>
      <c r="H108" s="3">
        <f t="shared" ca="1" si="3"/>
        <v>0.37726770644092533</v>
      </c>
      <c r="I108" s="3" t="str">
        <f>LEFT(표3[[#This Row],[번호]],1)</f>
        <v>C</v>
      </c>
      <c r="J108" s="3">
        <f>COUNTIF(문제보기!B:B,표3[[#This Row],[번호]])</f>
        <v>1</v>
      </c>
      <c r="K108" s="6">
        <f>IFERROR(COUNTIFS(문제보기!B:B,표3[[#This Row],[번호]],문제보기!E:E,"O")/표3[[#This Row],[출제횟수]],0)</f>
        <v>1</v>
      </c>
    </row>
    <row r="109" spans="1:11" x14ac:dyDescent="0.3">
      <c r="A109" s="3" t="s">
        <v>889</v>
      </c>
      <c r="B109" s="3" t="s">
        <v>890</v>
      </c>
      <c r="C109" s="3" t="s">
        <v>891</v>
      </c>
      <c r="D109" s="3" t="s">
        <v>892</v>
      </c>
      <c r="E109" s="3" t="s">
        <v>893</v>
      </c>
      <c r="F109" s="3" t="s">
        <v>894</v>
      </c>
      <c r="G109" s="3">
        <v>1</v>
      </c>
      <c r="H109" s="3">
        <f t="shared" ca="1" si="3"/>
        <v>4.3646496476893559E-2</v>
      </c>
      <c r="I109" s="3" t="str">
        <f>LEFT(표3[[#This Row],[번호]],1)</f>
        <v>C</v>
      </c>
      <c r="J109" s="3">
        <f>COUNTIF(문제보기!B:B,표3[[#This Row],[번호]])</f>
        <v>0</v>
      </c>
      <c r="K109" s="6">
        <f>IFERROR(COUNTIFS(문제보기!B:B,표3[[#This Row],[번호]],문제보기!E:E,"O")/표3[[#This Row],[출제횟수]],0)</f>
        <v>0</v>
      </c>
    </row>
    <row r="110" spans="1:11" x14ac:dyDescent="0.3">
      <c r="A110" s="3" t="s">
        <v>895</v>
      </c>
      <c r="B110" s="3" t="s">
        <v>896</v>
      </c>
      <c r="C110" s="3" t="s">
        <v>897</v>
      </c>
      <c r="D110" s="3" t="s">
        <v>898</v>
      </c>
      <c r="E110" s="3" t="s">
        <v>899</v>
      </c>
      <c r="F110" s="3" t="s">
        <v>900</v>
      </c>
      <c r="G110" s="3">
        <v>3</v>
      </c>
      <c r="H110" s="3">
        <f t="shared" ca="1" si="3"/>
        <v>0.58887209619301517</v>
      </c>
      <c r="I110" s="3" t="str">
        <f>LEFT(표3[[#This Row],[번호]],1)</f>
        <v>C</v>
      </c>
      <c r="J110" s="3">
        <f>COUNTIF(문제보기!B:B,표3[[#This Row],[번호]])</f>
        <v>5</v>
      </c>
      <c r="K110" s="6">
        <f>IFERROR(COUNTIFS(문제보기!B:B,표3[[#This Row],[번호]],문제보기!E:E,"O")/표3[[#This Row],[출제횟수]],0)</f>
        <v>0.8</v>
      </c>
    </row>
    <row r="111" spans="1:11" x14ac:dyDescent="0.3">
      <c r="A111" s="3" t="s">
        <v>901</v>
      </c>
      <c r="B111" s="3" t="s">
        <v>902</v>
      </c>
      <c r="C111" s="3" t="s">
        <v>903</v>
      </c>
      <c r="D111" s="3" t="s">
        <v>904</v>
      </c>
      <c r="E111" s="3" t="s">
        <v>905</v>
      </c>
      <c r="F111" s="3" t="s">
        <v>906</v>
      </c>
      <c r="G111" s="3">
        <v>4</v>
      </c>
      <c r="H111" s="3">
        <f t="shared" ca="1" si="3"/>
        <v>0.50776756469216877</v>
      </c>
      <c r="I111" s="3" t="str">
        <f>LEFT(표3[[#This Row],[번호]],1)</f>
        <v>C</v>
      </c>
      <c r="J111" s="3">
        <f>COUNTIF(문제보기!B:B,표3[[#This Row],[번호]])</f>
        <v>3</v>
      </c>
      <c r="K111" s="6">
        <f>IFERROR(COUNTIFS(문제보기!B:B,표3[[#This Row],[번호]],문제보기!E:E,"O")/표3[[#This Row],[출제횟수]],0)</f>
        <v>0.66666666666666663</v>
      </c>
    </row>
    <row r="112" spans="1:11" x14ac:dyDescent="0.3">
      <c r="A112" s="3" t="s">
        <v>907</v>
      </c>
      <c r="B112" s="3" t="s">
        <v>908</v>
      </c>
      <c r="C112" s="3" t="s">
        <v>909</v>
      </c>
      <c r="D112" s="3" t="s">
        <v>910</v>
      </c>
      <c r="E112" s="3" t="s">
        <v>911</v>
      </c>
      <c r="F112" s="3" t="s">
        <v>912</v>
      </c>
      <c r="G112" s="3">
        <v>4</v>
      </c>
      <c r="H112" s="3">
        <f t="shared" ca="1" si="3"/>
        <v>0.44527450908540844</v>
      </c>
      <c r="I112" s="3" t="str">
        <f>LEFT(표3[[#This Row],[번호]],1)</f>
        <v>C</v>
      </c>
      <c r="J112" s="3">
        <f>COUNTIF(문제보기!B:B,표3[[#This Row],[번호]])</f>
        <v>1</v>
      </c>
      <c r="K112" s="6">
        <f>IFERROR(COUNTIFS(문제보기!B:B,표3[[#This Row],[번호]],문제보기!E:E,"O")/표3[[#This Row],[출제횟수]],0)</f>
        <v>0</v>
      </c>
    </row>
    <row r="113" spans="1:11" x14ac:dyDescent="0.3">
      <c r="A113" s="3" t="s">
        <v>913</v>
      </c>
      <c r="B113" s="3" t="s">
        <v>914</v>
      </c>
      <c r="C113" s="3" t="s">
        <v>915</v>
      </c>
      <c r="D113" s="3" t="s">
        <v>916</v>
      </c>
      <c r="E113" s="3" t="s">
        <v>917</v>
      </c>
      <c r="F113" s="3" t="s">
        <v>918</v>
      </c>
      <c r="G113" s="3">
        <v>3</v>
      </c>
      <c r="H113" s="3">
        <f t="shared" ca="1" si="3"/>
        <v>0.61662399133980472</v>
      </c>
      <c r="I113" s="3" t="str">
        <f>LEFT(표3[[#This Row],[번호]],1)</f>
        <v>C</v>
      </c>
      <c r="J113" s="3">
        <f>COUNTIF(문제보기!B:B,표3[[#This Row],[번호]])</f>
        <v>0</v>
      </c>
      <c r="K113" s="6">
        <f>IFERROR(COUNTIFS(문제보기!B:B,표3[[#This Row],[번호]],문제보기!E:E,"O")/표3[[#This Row],[출제횟수]],0)</f>
        <v>0</v>
      </c>
    </row>
    <row r="114" spans="1:11" x14ac:dyDescent="0.3">
      <c r="A114" s="3" t="s">
        <v>919</v>
      </c>
      <c r="B114" s="3" t="s">
        <v>920</v>
      </c>
      <c r="C114" s="3" t="s">
        <v>921</v>
      </c>
      <c r="D114" s="3" t="s">
        <v>922</v>
      </c>
      <c r="E114" s="3" t="s">
        <v>923</v>
      </c>
      <c r="F114" s="3" t="s">
        <v>924</v>
      </c>
      <c r="G114" s="3">
        <v>1</v>
      </c>
      <c r="H114" s="3">
        <f t="shared" ca="1" si="3"/>
        <v>0.13252835701368326</v>
      </c>
      <c r="I114" s="3" t="str">
        <f>LEFT(표3[[#This Row],[번호]],1)</f>
        <v>C</v>
      </c>
      <c r="J114" s="3">
        <f>COUNTIF(문제보기!B:B,표3[[#This Row],[번호]])</f>
        <v>1</v>
      </c>
      <c r="K114" s="6">
        <f>IFERROR(COUNTIFS(문제보기!B:B,표3[[#This Row],[번호]],문제보기!E:E,"O")/표3[[#This Row],[출제횟수]],0)</f>
        <v>1</v>
      </c>
    </row>
    <row r="115" spans="1:11" x14ac:dyDescent="0.3">
      <c r="A115" s="3" t="s">
        <v>925</v>
      </c>
      <c r="B115" s="3" t="s">
        <v>926</v>
      </c>
      <c r="C115" s="3" t="s">
        <v>587</v>
      </c>
      <c r="D115" s="3" t="s">
        <v>927</v>
      </c>
      <c r="E115" s="3" t="s">
        <v>664</v>
      </c>
      <c r="F115" s="3" t="s">
        <v>585</v>
      </c>
      <c r="G115" s="3">
        <v>1</v>
      </c>
      <c r="H115" s="3">
        <f t="shared" ca="1" si="3"/>
        <v>0.61452945623342892</v>
      </c>
      <c r="I115" s="3" t="str">
        <f>LEFT(표3[[#This Row],[번호]],1)</f>
        <v>C</v>
      </c>
      <c r="J115" s="3">
        <f>COUNTIF(문제보기!B:B,표3[[#This Row],[번호]])</f>
        <v>6</v>
      </c>
      <c r="K115" s="6">
        <f>IFERROR(COUNTIFS(문제보기!B:B,표3[[#This Row],[번호]],문제보기!E:E,"O")/표3[[#This Row],[출제횟수]],0)</f>
        <v>0.5</v>
      </c>
    </row>
    <row r="116" spans="1:11" x14ac:dyDescent="0.3">
      <c r="A116" s="3" t="s">
        <v>928</v>
      </c>
      <c r="B116" s="3" t="s">
        <v>929</v>
      </c>
      <c r="C116" s="3" t="s">
        <v>930</v>
      </c>
      <c r="D116" s="3" t="s">
        <v>931</v>
      </c>
      <c r="E116" s="3" t="s">
        <v>932</v>
      </c>
      <c r="F116" s="3" t="s">
        <v>933</v>
      </c>
      <c r="G116" s="3">
        <v>2</v>
      </c>
      <c r="H116" s="3">
        <f t="shared" ca="1" si="3"/>
        <v>0.37860704259169553</v>
      </c>
      <c r="I116" s="3" t="str">
        <f>LEFT(표3[[#This Row],[번호]],1)</f>
        <v>C</v>
      </c>
      <c r="J116" s="3">
        <f>COUNTIF(문제보기!B:B,표3[[#This Row],[번호]])</f>
        <v>5</v>
      </c>
      <c r="K116" s="6">
        <f>IFERROR(COUNTIFS(문제보기!B:B,표3[[#This Row],[번호]],문제보기!E:E,"O")/표3[[#This Row],[출제횟수]],0)</f>
        <v>0.4</v>
      </c>
    </row>
    <row r="117" spans="1:11" x14ac:dyDescent="0.3">
      <c r="A117" s="3" t="s">
        <v>934</v>
      </c>
      <c r="B117" s="3" t="s">
        <v>935</v>
      </c>
      <c r="C117" s="3" t="s">
        <v>613</v>
      </c>
      <c r="D117" s="3" t="s">
        <v>611</v>
      </c>
      <c r="E117" s="3" t="s">
        <v>722</v>
      </c>
      <c r="F117" s="3" t="s">
        <v>936</v>
      </c>
      <c r="G117" s="3">
        <v>4</v>
      </c>
      <c r="H117" s="3">
        <f t="shared" ca="1" si="3"/>
        <v>0.41258716181374855</v>
      </c>
      <c r="I117" s="3" t="str">
        <f>LEFT(표3[[#This Row],[번호]],1)</f>
        <v>C</v>
      </c>
      <c r="J117" s="3">
        <f>COUNTIF(문제보기!B:B,표3[[#This Row],[번호]])</f>
        <v>0</v>
      </c>
      <c r="K117" s="6">
        <f>IFERROR(COUNTIFS(문제보기!B:B,표3[[#This Row],[번호]],문제보기!E:E,"O")/표3[[#This Row],[출제횟수]],0)</f>
        <v>0</v>
      </c>
    </row>
    <row r="118" spans="1:11" x14ac:dyDescent="0.3">
      <c r="A118" s="3" t="s">
        <v>937</v>
      </c>
      <c r="B118" s="3" t="s">
        <v>938</v>
      </c>
      <c r="C118" s="3" t="s">
        <v>732</v>
      </c>
      <c r="D118" s="3" t="s">
        <v>939</v>
      </c>
      <c r="E118" s="3" t="s">
        <v>940</v>
      </c>
      <c r="F118" s="3" t="s">
        <v>727</v>
      </c>
      <c r="G118" s="3">
        <v>2</v>
      </c>
      <c r="H118" s="3">
        <f t="shared" ca="1" si="3"/>
        <v>0.95282228127401802</v>
      </c>
      <c r="I118" s="3" t="str">
        <f>LEFT(표3[[#This Row],[번호]],1)</f>
        <v>C</v>
      </c>
      <c r="J118" s="3">
        <f>COUNTIF(문제보기!B:B,표3[[#This Row],[번호]])</f>
        <v>5</v>
      </c>
      <c r="K118" s="6">
        <f>IFERROR(COUNTIFS(문제보기!B:B,표3[[#This Row],[번호]],문제보기!E:E,"O")/표3[[#This Row],[출제횟수]],0)</f>
        <v>0.6</v>
      </c>
    </row>
    <row r="119" spans="1:11" x14ac:dyDescent="0.3">
      <c r="A119" s="3" t="s">
        <v>941</v>
      </c>
      <c r="B119" s="3" t="s">
        <v>942</v>
      </c>
      <c r="C119" s="3" t="s">
        <v>943</v>
      </c>
      <c r="D119" s="3" t="s">
        <v>944</v>
      </c>
      <c r="E119" s="3" t="s">
        <v>945</v>
      </c>
      <c r="F119" s="3" t="s">
        <v>946</v>
      </c>
      <c r="G119" s="3">
        <v>4</v>
      </c>
      <c r="H119" s="3">
        <f t="shared" ca="1" si="3"/>
        <v>0.87207976715533986</v>
      </c>
      <c r="I119" s="3" t="str">
        <f>LEFT(표3[[#This Row],[번호]],1)</f>
        <v>C</v>
      </c>
      <c r="J119" s="3">
        <f>COUNTIF(문제보기!B:B,표3[[#This Row],[번호]])</f>
        <v>3</v>
      </c>
      <c r="K119" s="6">
        <f>IFERROR(COUNTIFS(문제보기!B:B,표3[[#This Row],[번호]],문제보기!E:E,"O")/표3[[#This Row],[출제횟수]],0)</f>
        <v>1</v>
      </c>
    </row>
    <row r="120" spans="1:11" x14ac:dyDescent="0.3">
      <c r="A120" s="3" t="s">
        <v>947</v>
      </c>
      <c r="B120" s="3" t="s">
        <v>948</v>
      </c>
      <c r="C120" s="3" t="s">
        <v>949</v>
      </c>
      <c r="D120" s="3" t="s">
        <v>950</v>
      </c>
      <c r="E120" s="3" t="s">
        <v>951</v>
      </c>
      <c r="F120" s="3" t="s">
        <v>952</v>
      </c>
      <c r="G120" s="3">
        <v>1</v>
      </c>
      <c r="H120" s="3">
        <f t="shared" ca="1" si="3"/>
        <v>0.20810211122364974</v>
      </c>
      <c r="I120" s="3" t="str">
        <f>LEFT(표3[[#This Row],[번호]],1)</f>
        <v>C</v>
      </c>
      <c r="J120" s="3">
        <f>COUNTIF(문제보기!B:B,표3[[#This Row],[번호]])</f>
        <v>0</v>
      </c>
      <c r="K120" s="6">
        <f>IFERROR(COUNTIFS(문제보기!B:B,표3[[#This Row],[번호]],문제보기!E:E,"O")/표3[[#This Row],[출제횟수]],0)</f>
        <v>0</v>
      </c>
    </row>
  </sheetData>
  <phoneticPr fontId="2" type="noConversion"/>
  <conditionalFormatting sqref="A122:G1048576 A2:G120">
    <cfRule type="expression" dxfId="60" priority="1">
      <formula>$G2 +1 = COLUMN()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A1:O39"/>
  <sheetViews>
    <sheetView zoomScale="85" zoomScaleNormal="85" workbookViewId="0">
      <pane ySplit="1" topLeftCell="A2" activePane="bottomLeft" state="frozen"/>
      <selection pane="bottomLeft" activeCell="Q51" sqref="P51:Q51"/>
    </sheetView>
  </sheetViews>
  <sheetFormatPr defaultColWidth="8.625" defaultRowHeight="16.5" x14ac:dyDescent="0.3"/>
  <cols>
    <col min="1" max="1" width="10.625" style="3" customWidth="1"/>
    <col min="2" max="2" width="12.875" style="3" customWidth="1"/>
    <col min="3" max="3" width="10.125" style="3" customWidth="1"/>
    <col min="4" max="6" width="8.625" style="3"/>
    <col min="7" max="7" width="0" style="3" hidden="1" customWidth="1"/>
    <col min="8" max="8" width="8.625" style="20"/>
    <col min="9" max="16384" width="8.625" style="3"/>
  </cols>
  <sheetData>
    <row r="1" spans="1:15" ht="33" customHeight="1" x14ac:dyDescent="0.3">
      <c r="A1" s="12" t="s">
        <v>31</v>
      </c>
      <c r="B1" s="15" t="s">
        <v>954</v>
      </c>
      <c r="C1" s="15" t="s">
        <v>955</v>
      </c>
      <c r="D1" s="15" t="s">
        <v>956</v>
      </c>
      <c r="E1" s="15" t="s">
        <v>957</v>
      </c>
      <c r="F1" s="15" t="s">
        <v>1135</v>
      </c>
      <c r="G1" s="15" t="s">
        <v>1139</v>
      </c>
      <c r="H1" s="21" t="s">
        <v>1157</v>
      </c>
      <c r="I1" s="13"/>
      <c r="J1" s="13" t="s">
        <v>1136</v>
      </c>
      <c r="K1" s="13"/>
      <c r="L1" s="14" t="s">
        <v>1138</v>
      </c>
      <c r="M1" s="13" t="s">
        <v>1137</v>
      </c>
      <c r="N1" s="13"/>
      <c r="O1" s="13" t="s">
        <v>1177</v>
      </c>
    </row>
    <row r="2" spans="1:15" x14ac:dyDescent="0.3">
      <c r="A2" s="19">
        <v>10101</v>
      </c>
      <c r="B2" s="17">
        <v>44785</v>
      </c>
      <c r="C2" s="18">
        <v>3.8958333333333338E-2</v>
      </c>
      <c r="D2" s="16" t="s">
        <v>958</v>
      </c>
      <c r="E2" s="16">
        <v>40</v>
      </c>
      <c r="F2" s="16" t="str">
        <f>IF(성적!$E2&gt;=60,"합격", "불합격")</f>
        <v>불합격</v>
      </c>
      <c r="G2" s="16" t="str">
        <f>LEFT(성적!$A2,3)</f>
        <v>101</v>
      </c>
      <c r="H2" s="22"/>
      <c r="I2" s="13"/>
      <c r="J2" s="13" t="s">
        <v>1131</v>
      </c>
      <c r="K2" s="13"/>
      <c r="L2" s="13">
        <f>COUNTIFS(A:A,H2,D:D,J2,F:F,L1)</f>
        <v>0</v>
      </c>
      <c r="M2" s="13">
        <f>COUNTIFS(A:A,H2,D:D,J2,F:F,M1)</f>
        <v>0</v>
      </c>
      <c r="N2" s="13"/>
      <c r="O2" s="13">
        <f>번호</f>
        <v>0</v>
      </c>
    </row>
    <row r="3" spans="1:15" x14ac:dyDescent="0.3">
      <c r="A3" s="19">
        <v>10101</v>
      </c>
      <c r="B3" s="17">
        <v>44785</v>
      </c>
      <c r="C3" s="18">
        <v>3.8958333333333338E-2</v>
      </c>
      <c r="D3" s="16" t="s">
        <v>959</v>
      </c>
      <c r="E3" s="16">
        <v>40</v>
      </c>
      <c r="F3" s="16" t="str">
        <f>IF(성적!$E3&gt;=60,"합격", "불합격")</f>
        <v>불합격</v>
      </c>
      <c r="G3" s="16" t="str">
        <f>LEFT(성적!$A3,3)</f>
        <v>101</v>
      </c>
      <c r="H3" s="22"/>
      <c r="I3" s="13"/>
    </row>
    <row r="4" spans="1:15" hidden="1" x14ac:dyDescent="0.3">
      <c r="A4" s="19">
        <v>10102</v>
      </c>
      <c r="B4" s="17">
        <v>44786</v>
      </c>
      <c r="C4" s="18">
        <v>5.5625000000000001E-2</v>
      </c>
      <c r="D4" s="16" t="s">
        <v>958</v>
      </c>
      <c r="E4" s="16">
        <v>80</v>
      </c>
      <c r="F4" s="16" t="str">
        <f>IF(성적!$E4&gt;=60,"합격", "불합격")</f>
        <v>합격</v>
      </c>
      <c r="G4" s="16" t="str">
        <f>LEFT(성적!$A4,3)</f>
        <v>101</v>
      </c>
      <c r="H4" s="22"/>
      <c r="I4" s="13"/>
    </row>
    <row r="5" spans="1:15" hidden="1" x14ac:dyDescent="0.3">
      <c r="A5" s="19">
        <v>10103</v>
      </c>
      <c r="B5" s="17">
        <v>44786</v>
      </c>
      <c r="C5" s="18">
        <v>4.2395833333333334E-2</v>
      </c>
      <c r="D5" s="16" t="s">
        <v>959</v>
      </c>
      <c r="E5" s="16">
        <v>60</v>
      </c>
      <c r="F5" s="16" t="str">
        <f>IF(성적!$E5&gt;=60,"합격", "불합격")</f>
        <v>합격</v>
      </c>
      <c r="G5" s="16" t="str">
        <f>LEFT(성적!$A5,3)</f>
        <v>101</v>
      </c>
    </row>
    <row r="6" spans="1:15" x14ac:dyDescent="0.3">
      <c r="A6" s="19">
        <v>10101</v>
      </c>
      <c r="B6" s="17">
        <v>44786</v>
      </c>
      <c r="C6" s="18">
        <v>2.8125000000000001E-2</v>
      </c>
      <c r="D6" s="16" t="s">
        <v>960</v>
      </c>
      <c r="E6" s="16">
        <v>40</v>
      </c>
      <c r="F6" s="16" t="str">
        <f>IF(성적!$E6&gt;=60,"합격", "불합격")</f>
        <v>불합격</v>
      </c>
      <c r="G6" s="16" t="str">
        <f>LEFT(성적!$A6,3)</f>
        <v>101</v>
      </c>
    </row>
    <row r="7" spans="1:15" hidden="1" x14ac:dyDescent="0.3">
      <c r="A7" s="19">
        <v>20104</v>
      </c>
      <c r="B7" s="17">
        <v>44787</v>
      </c>
      <c r="C7" s="18">
        <v>3.9131944444444448E-2</v>
      </c>
      <c r="D7" s="16" t="s">
        <v>960</v>
      </c>
      <c r="E7" s="16">
        <v>50</v>
      </c>
      <c r="F7" s="16" t="str">
        <f>IF(성적!$E7&gt;=60,"합격", "불합격")</f>
        <v>불합격</v>
      </c>
      <c r="G7" s="16" t="str">
        <f>LEFT(성적!$A7,3)</f>
        <v>201</v>
      </c>
    </row>
    <row r="8" spans="1:15" hidden="1" x14ac:dyDescent="0.3">
      <c r="A8" s="19">
        <v>20105</v>
      </c>
      <c r="B8" s="17">
        <v>44787</v>
      </c>
      <c r="C8" s="18">
        <v>5.6631944444444443E-2</v>
      </c>
      <c r="D8" s="16" t="s">
        <v>960</v>
      </c>
      <c r="E8" s="16">
        <v>70</v>
      </c>
      <c r="F8" s="16" t="str">
        <f>IF(성적!$E8&gt;=60,"합격", "불합격")</f>
        <v>합격</v>
      </c>
      <c r="G8" s="16" t="str">
        <f>LEFT(성적!$A8,3)</f>
        <v>201</v>
      </c>
    </row>
    <row r="9" spans="1:15" hidden="1" x14ac:dyDescent="0.3">
      <c r="A9" s="19">
        <v>20106</v>
      </c>
      <c r="B9" s="17">
        <v>44788</v>
      </c>
      <c r="C9" s="18">
        <v>8.5069444444444434E-2</v>
      </c>
      <c r="D9" s="16" t="s">
        <v>959</v>
      </c>
      <c r="E9" s="16">
        <v>10</v>
      </c>
      <c r="F9" s="16" t="str">
        <f>IF(성적!$E9&gt;=60,"합격", "불합격")</f>
        <v>불합격</v>
      </c>
      <c r="G9" s="16" t="str">
        <f>LEFT(성적!$A9,3)</f>
        <v>201</v>
      </c>
    </row>
    <row r="10" spans="1:15" hidden="1" x14ac:dyDescent="0.3">
      <c r="A10" s="19">
        <v>20107</v>
      </c>
      <c r="B10" s="17">
        <v>44788</v>
      </c>
      <c r="C10" s="18">
        <v>0.11137731481481482</v>
      </c>
      <c r="D10" s="16" t="s">
        <v>958</v>
      </c>
      <c r="E10" s="16">
        <v>60</v>
      </c>
      <c r="F10" s="16" t="str">
        <f>IF(성적!$E10&gt;=60,"합격", "불합격")</f>
        <v>합격</v>
      </c>
      <c r="G10" s="16" t="str">
        <f>LEFT(성적!$A10,3)</f>
        <v>201</v>
      </c>
    </row>
    <row r="11" spans="1:15" hidden="1" x14ac:dyDescent="0.3">
      <c r="A11" s="19">
        <v>30106</v>
      </c>
      <c r="B11" s="17">
        <v>44788</v>
      </c>
      <c r="C11" s="18">
        <v>6.4953703703703694E-2</v>
      </c>
      <c r="D11" s="16" t="s">
        <v>958</v>
      </c>
      <c r="E11" s="16">
        <v>100</v>
      </c>
      <c r="F11" s="16" t="str">
        <f>IF(성적!$E11&gt;=60,"합격", "불합격")</f>
        <v>합격</v>
      </c>
      <c r="G11" s="16" t="str">
        <f>LEFT(성적!$A11,3)</f>
        <v>301</v>
      </c>
    </row>
    <row r="12" spans="1:15" hidden="1" x14ac:dyDescent="0.3">
      <c r="A12" s="19">
        <v>30110</v>
      </c>
      <c r="B12" s="17">
        <v>44789</v>
      </c>
      <c r="C12" s="18">
        <v>1.7743055555555557E-2</v>
      </c>
      <c r="D12" s="16" t="s">
        <v>959</v>
      </c>
      <c r="E12" s="16">
        <v>20</v>
      </c>
      <c r="F12" s="16" t="str">
        <f>IF(성적!$E12&gt;=60,"합격", "불합격")</f>
        <v>불합격</v>
      </c>
      <c r="G12" s="16" t="str">
        <f>LEFT(성적!$A12,3)</f>
        <v>301</v>
      </c>
    </row>
    <row r="13" spans="1:15" hidden="1" x14ac:dyDescent="0.3">
      <c r="A13" s="19">
        <v>30203</v>
      </c>
      <c r="B13" s="17">
        <v>44789</v>
      </c>
      <c r="C13" s="18">
        <v>0.12677083333333333</v>
      </c>
      <c r="D13" s="16" t="s">
        <v>959</v>
      </c>
      <c r="E13" s="16">
        <v>40</v>
      </c>
      <c r="F13" s="16" t="str">
        <f>IF(성적!$E13&gt;=60,"합격", "불합격")</f>
        <v>불합격</v>
      </c>
      <c r="G13" s="16" t="str">
        <f>LEFT(성적!$A13,3)</f>
        <v>302</v>
      </c>
    </row>
    <row r="14" spans="1:15" hidden="1" x14ac:dyDescent="0.3">
      <c r="A14" s="19">
        <v>30208</v>
      </c>
      <c r="B14" s="17">
        <v>44789</v>
      </c>
      <c r="C14" s="18">
        <v>0.12872685185185184</v>
      </c>
      <c r="D14" s="16" t="s">
        <v>960</v>
      </c>
      <c r="E14" s="16">
        <v>60</v>
      </c>
      <c r="F14" s="16" t="str">
        <f>IF(성적!$E14&gt;=60,"합격", "불합격")</f>
        <v>합격</v>
      </c>
      <c r="G14" s="16" t="str">
        <f>LEFT(성적!$A14,3)</f>
        <v>302</v>
      </c>
    </row>
    <row r="15" spans="1:15" x14ac:dyDescent="0.3">
      <c r="A15" s="19">
        <v>10101</v>
      </c>
      <c r="B15" s="17">
        <v>44789</v>
      </c>
      <c r="C15" s="18">
        <v>1.9675925925925927E-2</v>
      </c>
      <c r="D15" s="16" t="s">
        <v>958</v>
      </c>
      <c r="E15" s="16">
        <v>100</v>
      </c>
      <c r="F15" s="16" t="str">
        <f>IF(성적!$E15&gt;=60,"합격", "불합격")</f>
        <v>합격</v>
      </c>
      <c r="G15" s="16" t="str">
        <f>LEFT(성적!$A15,3)</f>
        <v>101</v>
      </c>
    </row>
    <row r="16" spans="1:15" hidden="1" x14ac:dyDescent="0.3">
      <c r="A16" s="19">
        <v>10107</v>
      </c>
      <c r="B16" s="17">
        <v>44790</v>
      </c>
      <c r="C16" s="18">
        <v>3.8310185185185183E-2</v>
      </c>
      <c r="D16" s="16" t="s">
        <v>958</v>
      </c>
      <c r="E16" s="16">
        <v>15</v>
      </c>
      <c r="F16" s="16" t="str">
        <f>IF(성적!$E16&gt;=60,"합격", "불합격")</f>
        <v>불합격</v>
      </c>
      <c r="G16" s="16" t="str">
        <f>LEFT(성적!$A16,3)</f>
        <v>101</v>
      </c>
    </row>
    <row r="17" spans="1:7" hidden="1" x14ac:dyDescent="0.3">
      <c r="A17" s="19">
        <v>10205</v>
      </c>
      <c r="B17" s="17">
        <v>44790</v>
      </c>
      <c r="C17" s="18">
        <v>5.9409722222222218E-2</v>
      </c>
      <c r="D17" s="16" t="s">
        <v>958</v>
      </c>
      <c r="E17" s="16">
        <v>85</v>
      </c>
      <c r="F17" s="16" t="str">
        <f>IF(성적!$E17&gt;=60,"합격", "불합격")</f>
        <v>합격</v>
      </c>
      <c r="G17" s="16" t="str">
        <f>LEFT(성적!$A17,3)</f>
        <v>102</v>
      </c>
    </row>
    <row r="18" spans="1:7" hidden="1" x14ac:dyDescent="0.3">
      <c r="A18" s="19">
        <v>10210</v>
      </c>
      <c r="B18" s="17">
        <v>44790</v>
      </c>
      <c r="C18" s="18">
        <v>7.8159722222222214E-2</v>
      </c>
      <c r="D18" s="16" t="s">
        <v>958</v>
      </c>
      <c r="E18" s="16">
        <v>15</v>
      </c>
      <c r="F18" s="16" t="str">
        <f>IF(성적!$E18&gt;=60,"합격", "불합격")</f>
        <v>불합격</v>
      </c>
      <c r="G18" s="16" t="str">
        <f>LEFT(성적!$A18,3)</f>
        <v>102</v>
      </c>
    </row>
    <row r="19" spans="1:7" hidden="1" x14ac:dyDescent="0.3">
      <c r="A19" s="19">
        <v>20102</v>
      </c>
      <c r="B19" s="17">
        <v>44792</v>
      </c>
      <c r="C19" s="18">
        <v>7.5902777777777777E-2</v>
      </c>
      <c r="D19" s="16" t="s">
        <v>959</v>
      </c>
      <c r="E19" s="16">
        <v>40</v>
      </c>
      <c r="F19" s="16" t="str">
        <f>IF(성적!$E19&gt;=60,"합격", "불합격")</f>
        <v>불합격</v>
      </c>
      <c r="G19" s="16" t="str">
        <f>LEFT(성적!$A19,3)</f>
        <v>201</v>
      </c>
    </row>
    <row r="20" spans="1:7" hidden="1" x14ac:dyDescent="0.3">
      <c r="A20" s="19">
        <v>20105</v>
      </c>
      <c r="B20" s="17">
        <v>44792</v>
      </c>
      <c r="C20" s="18">
        <v>3.6296296296296292E-2</v>
      </c>
      <c r="D20" s="16" t="s">
        <v>959</v>
      </c>
      <c r="E20" s="16">
        <v>80</v>
      </c>
      <c r="F20" s="16" t="str">
        <f>IF(성적!$E20&gt;=60,"합격", "불합격")</f>
        <v>합격</v>
      </c>
      <c r="G20" s="16" t="str">
        <f>LEFT(성적!$A20,3)</f>
        <v>201</v>
      </c>
    </row>
    <row r="21" spans="1:7" hidden="1" x14ac:dyDescent="0.3">
      <c r="A21" s="19">
        <v>20110</v>
      </c>
      <c r="B21" s="17">
        <v>44793</v>
      </c>
      <c r="C21" s="18">
        <v>1.4097222222222221E-2</v>
      </c>
      <c r="D21" s="16" t="s">
        <v>959</v>
      </c>
      <c r="E21" s="16">
        <v>40</v>
      </c>
      <c r="F21" s="16" t="str">
        <f>IF(성적!$E21&gt;=60,"합격", "불합격")</f>
        <v>불합격</v>
      </c>
      <c r="G21" s="16" t="str">
        <f>LEFT(성적!$A21,3)</f>
        <v>201</v>
      </c>
    </row>
    <row r="22" spans="1:7" hidden="1" x14ac:dyDescent="0.3">
      <c r="A22" s="19">
        <v>20203</v>
      </c>
      <c r="B22" s="17">
        <v>44793</v>
      </c>
      <c r="C22" s="18">
        <v>6.1238425925925925E-2</v>
      </c>
      <c r="D22" s="16" t="s">
        <v>959</v>
      </c>
      <c r="E22" s="16">
        <v>60</v>
      </c>
      <c r="F22" s="16" t="str">
        <f>IF(성적!$E22&gt;=60,"합격", "불합격")</f>
        <v>합격</v>
      </c>
      <c r="G22" s="16" t="str">
        <f>LEFT(성적!$A22,3)</f>
        <v>202</v>
      </c>
    </row>
    <row r="23" spans="1:7" hidden="1" x14ac:dyDescent="0.3">
      <c r="A23" s="19">
        <v>20206</v>
      </c>
      <c r="B23" s="17">
        <v>44793</v>
      </c>
      <c r="C23" s="18">
        <v>6.4108796296296303E-2</v>
      </c>
      <c r="D23" s="16" t="s">
        <v>959</v>
      </c>
      <c r="E23" s="16">
        <v>55</v>
      </c>
      <c r="F23" s="16" t="str">
        <f>IF(성적!$E23&gt;=60,"합격", "불합격")</f>
        <v>불합격</v>
      </c>
      <c r="G23" s="16" t="str">
        <f>LEFT(성적!$A23,3)</f>
        <v>202</v>
      </c>
    </row>
    <row r="24" spans="1:7" hidden="1" x14ac:dyDescent="0.3">
      <c r="A24" s="19">
        <v>30104</v>
      </c>
      <c r="B24" s="17">
        <v>44794</v>
      </c>
      <c r="C24" s="18">
        <v>3.4282407407407407E-2</v>
      </c>
      <c r="D24" s="16" t="s">
        <v>960</v>
      </c>
      <c r="E24" s="16">
        <v>80</v>
      </c>
      <c r="F24" s="16" t="str">
        <f>IF(성적!$E24&gt;=60,"합격", "불합격")</f>
        <v>합격</v>
      </c>
      <c r="G24" s="16" t="str">
        <f>LEFT(성적!$A24,3)</f>
        <v>301</v>
      </c>
    </row>
    <row r="25" spans="1:7" hidden="1" x14ac:dyDescent="0.3">
      <c r="A25" s="19">
        <v>30109</v>
      </c>
      <c r="B25" s="17">
        <v>44794</v>
      </c>
      <c r="C25" s="18">
        <v>1.7743055555555557E-2</v>
      </c>
      <c r="D25" s="16" t="s">
        <v>960</v>
      </c>
      <c r="E25" s="16">
        <v>75</v>
      </c>
      <c r="F25" s="16" t="str">
        <f>IF(성적!$E25&gt;=60,"합격", "불합격")</f>
        <v>합격</v>
      </c>
      <c r="G25" s="16" t="str">
        <f>LEFT(성적!$A25,3)</f>
        <v>301</v>
      </c>
    </row>
    <row r="26" spans="1:7" hidden="1" x14ac:dyDescent="0.3">
      <c r="A26" s="19">
        <v>30202</v>
      </c>
      <c r="B26" s="17">
        <v>44794</v>
      </c>
      <c r="C26" s="18">
        <v>2.8923611111111108E-2</v>
      </c>
      <c r="D26" s="16" t="s">
        <v>960</v>
      </c>
      <c r="E26" s="16">
        <v>80</v>
      </c>
      <c r="F26" s="16" t="str">
        <f>IF(성적!$E26&gt;=60,"합격", "불합격")</f>
        <v>합격</v>
      </c>
      <c r="G26" s="16" t="str">
        <f>LEFT(성적!$A26,3)</f>
        <v>302</v>
      </c>
    </row>
    <row r="27" spans="1:7" hidden="1" x14ac:dyDescent="0.3">
      <c r="A27" s="19">
        <v>30208</v>
      </c>
      <c r="B27" s="17">
        <v>44795</v>
      </c>
      <c r="C27" s="18">
        <v>2.0520833333333332E-2</v>
      </c>
      <c r="D27" s="16" t="s">
        <v>960</v>
      </c>
      <c r="E27" s="16">
        <v>85</v>
      </c>
      <c r="F27" s="16" t="str">
        <f>IF(성적!$E27&gt;=60,"합격", "불합격")</f>
        <v>합격</v>
      </c>
      <c r="G27" s="16" t="str">
        <f>LEFT(성적!$A27,3)</f>
        <v>302</v>
      </c>
    </row>
    <row r="28" spans="1:7" hidden="1" x14ac:dyDescent="0.3">
      <c r="A28" s="19">
        <v>30210</v>
      </c>
      <c r="B28" s="17">
        <v>44796</v>
      </c>
      <c r="C28" s="18">
        <v>4.1273148148148149E-2</v>
      </c>
      <c r="D28" s="16" t="s">
        <v>960</v>
      </c>
      <c r="E28" s="16">
        <v>70</v>
      </c>
      <c r="F28" s="16" t="str">
        <f>IF(성적!$E28&gt;=60,"합격", "불합격")</f>
        <v>합격</v>
      </c>
      <c r="G28" s="16" t="str">
        <f>LEFT(성적!$A28,3)</f>
        <v>302</v>
      </c>
    </row>
    <row r="29" spans="1:7" x14ac:dyDescent="0.3">
      <c r="A29" s="19">
        <v>10101</v>
      </c>
      <c r="B29" s="17">
        <v>44796</v>
      </c>
      <c r="C29" s="18">
        <v>1.7743055555555557E-2</v>
      </c>
      <c r="D29" s="16" t="s">
        <v>960</v>
      </c>
      <c r="E29" s="16">
        <v>100</v>
      </c>
      <c r="F29" s="16" t="str">
        <f>IF(성적!$E29&gt;=60,"합격", "불합격")</f>
        <v>합격</v>
      </c>
      <c r="G29" s="16" t="str">
        <f>LEFT(성적!$A29,3)</f>
        <v>101</v>
      </c>
    </row>
    <row r="30" spans="1:7" hidden="1" x14ac:dyDescent="0.3">
      <c r="A30" s="19">
        <v>10102</v>
      </c>
      <c r="B30" s="17">
        <v>44797</v>
      </c>
      <c r="C30" s="18">
        <v>2.5451388888888888E-2</v>
      </c>
      <c r="D30" s="16" t="s">
        <v>959</v>
      </c>
      <c r="E30" s="16">
        <v>20</v>
      </c>
      <c r="F30" s="16" t="str">
        <f>IF(성적!$E30&gt;=60,"합격", "불합격")</f>
        <v>불합격</v>
      </c>
      <c r="G30" s="16" t="str">
        <f>LEFT(성적!$A30,3)</f>
        <v>101</v>
      </c>
    </row>
    <row r="31" spans="1:7" hidden="1" x14ac:dyDescent="0.3">
      <c r="A31" s="19">
        <v>10103</v>
      </c>
      <c r="B31" s="17">
        <v>44797</v>
      </c>
      <c r="C31" s="18">
        <v>1.8437499999999999E-2</v>
      </c>
      <c r="D31" s="16" t="s">
        <v>958</v>
      </c>
      <c r="E31" s="16">
        <v>50</v>
      </c>
      <c r="F31" s="16" t="str">
        <f>IF(성적!$E31&gt;=60,"합격", "불합격")</f>
        <v>불합격</v>
      </c>
      <c r="G31" s="16" t="str">
        <f>LEFT(성적!$A31,3)</f>
        <v>101</v>
      </c>
    </row>
    <row r="32" spans="1:7" hidden="1" x14ac:dyDescent="0.3">
      <c r="A32" s="19">
        <v>10107</v>
      </c>
      <c r="B32" s="17">
        <v>44798</v>
      </c>
      <c r="C32" s="18">
        <v>5.0995370370370365E-2</v>
      </c>
      <c r="D32" s="16" t="s">
        <v>959</v>
      </c>
      <c r="E32" s="16">
        <v>60</v>
      </c>
      <c r="F32" s="16" t="str">
        <f>IF(성적!$E32&gt;=60,"합격", "불합격")</f>
        <v>합격</v>
      </c>
      <c r="G32" s="16" t="str">
        <f>LEFT(성적!$A32,3)</f>
        <v>101</v>
      </c>
    </row>
    <row r="33" spans="1:8" hidden="1" x14ac:dyDescent="0.3">
      <c r="A33" s="19">
        <v>10108</v>
      </c>
      <c r="B33" s="17">
        <v>44799</v>
      </c>
      <c r="C33" s="18">
        <v>6.7048611111111114E-2</v>
      </c>
      <c r="D33" s="16" t="s">
        <v>959</v>
      </c>
      <c r="E33" s="16">
        <v>70</v>
      </c>
      <c r="F33" s="16" t="str">
        <f>IF(성적!$E33&gt;=60,"합격", "불합격")</f>
        <v>합격</v>
      </c>
      <c r="G33" s="16" t="str">
        <f>LEFT(성적!$A33,3)</f>
        <v>101</v>
      </c>
    </row>
    <row r="34" spans="1:8" hidden="1" x14ac:dyDescent="0.3">
      <c r="A34" s="19">
        <v>20202</v>
      </c>
      <c r="B34" s="17">
        <v>44800</v>
      </c>
      <c r="C34" s="18">
        <v>6.8310185185185182E-2</v>
      </c>
      <c r="D34" s="16" t="s">
        <v>958</v>
      </c>
      <c r="E34" s="16">
        <v>80</v>
      </c>
      <c r="F34" s="16" t="str">
        <f>IF(성적!$E34&gt;=60,"합격", "불합격")</f>
        <v>합격</v>
      </c>
      <c r="G34" s="16" t="str">
        <f>LEFT(성적!$A34,3)</f>
        <v>202</v>
      </c>
    </row>
    <row r="35" spans="1:8" hidden="1" x14ac:dyDescent="0.3">
      <c r="A35" s="19">
        <v>20203</v>
      </c>
      <c r="B35" s="17">
        <v>44800</v>
      </c>
      <c r="C35" s="18">
        <v>2.9548611111111109E-2</v>
      </c>
      <c r="D35" s="16" t="s">
        <v>960</v>
      </c>
      <c r="E35" s="16">
        <v>50</v>
      </c>
      <c r="F35" s="16" t="str">
        <f>IF(성적!$E35&gt;=60,"합격", "불합격")</f>
        <v>불합격</v>
      </c>
      <c r="G35" s="16" t="str">
        <f>LEFT(성적!$A35,3)</f>
        <v>202</v>
      </c>
    </row>
    <row r="36" spans="1:8" hidden="1" x14ac:dyDescent="0.3">
      <c r="A36" s="19">
        <v>30202</v>
      </c>
      <c r="B36" s="17">
        <v>44801</v>
      </c>
      <c r="C36" s="18">
        <v>2.9166666666666664E-2</v>
      </c>
      <c r="D36" s="16" t="s">
        <v>960</v>
      </c>
      <c r="E36" s="16">
        <v>80</v>
      </c>
      <c r="F36" s="16" t="str">
        <f>IF(성적!$E36&gt;=60,"합격", "불합격")</f>
        <v>합격</v>
      </c>
      <c r="G36" s="16" t="str">
        <f>LEFT(성적!$A36,3)</f>
        <v>302</v>
      </c>
    </row>
    <row r="37" spans="1:8" hidden="1" x14ac:dyDescent="0.3">
      <c r="A37" s="19">
        <v>30203</v>
      </c>
      <c r="B37" s="17">
        <v>44801</v>
      </c>
      <c r="C37" s="18">
        <v>1.6689814814814817E-2</v>
      </c>
      <c r="D37" s="16" t="s">
        <v>958</v>
      </c>
      <c r="E37" s="16">
        <v>80</v>
      </c>
      <c r="F37" s="16" t="str">
        <f>IF(성적!$E37&gt;=60,"합격", "불합격")</f>
        <v>합격</v>
      </c>
      <c r="G37" s="16" t="str">
        <f>LEFT(성적!$A37,3)</f>
        <v>302</v>
      </c>
    </row>
    <row r="38" spans="1:8" hidden="1" x14ac:dyDescent="0.3">
      <c r="A38" s="19">
        <v>30204</v>
      </c>
      <c r="B38" s="17">
        <v>44802</v>
      </c>
      <c r="C38" s="18">
        <v>1.8437499999999999E-2</v>
      </c>
      <c r="D38" s="16" t="s">
        <v>959</v>
      </c>
      <c r="E38" s="16">
        <v>40</v>
      </c>
      <c r="F38" s="16" t="str">
        <f>IF(성적!$E38&gt;=60,"합격", "불합격")</f>
        <v>불합격</v>
      </c>
      <c r="G38" s="16" t="str">
        <f>LEFT(성적!$A38,3)</f>
        <v>302</v>
      </c>
    </row>
    <row r="39" spans="1:8" x14ac:dyDescent="0.3">
      <c r="A39" s="19">
        <v>10101</v>
      </c>
      <c r="B39" s="29">
        <v>44795</v>
      </c>
      <c r="C39" s="18">
        <v>1.7361111531499773E-4</v>
      </c>
      <c r="D39" s="16" t="s">
        <v>960</v>
      </c>
      <c r="E39" s="16">
        <v>20</v>
      </c>
      <c r="F39" s="16" t="str">
        <f>IF(성적!$E39&gt;=60,"합격", "불합격")</f>
        <v>불합격</v>
      </c>
      <c r="G39" s="16" t="str">
        <f>LEFT(성적!$A39,3)</f>
        <v>101</v>
      </c>
      <c r="H39" s="3"/>
    </row>
  </sheetData>
  <phoneticPr fontId="2" type="noConversion"/>
  <conditionalFormatting sqref="A2:F1048576">
    <cfRule type="expression" dxfId="46" priority="1">
      <formula>AND($H$2&lt;&gt;"", 타입&lt;&gt;"학생", $H$2=$A2)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84"/>
  <sheetViews>
    <sheetView zoomScale="130" zoomScaleNormal="130" workbookViewId="0">
      <pane ySplit="1" topLeftCell="A2" activePane="bottomLeft" state="frozen"/>
      <selection pane="bottomLeft" activeCell="G10" sqref="G10"/>
    </sheetView>
  </sheetViews>
  <sheetFormatPr defaultColWidth="8.625" defaultRowHeight="16.5" x14ac:dyDescent="0.3"/>
  <cols>
    <col min="1" max="2" width="9.875" style="3" customWidth="1"/>
    <col min="3" max="3" width="10.625" style="3" customWidth="1"/>
    <col min="4" max="16384" width="8.625" style="3"/>
  </cols>
  <sheetData>
    <row r="1" spans="1:7" x14ac:dyDescent="0.3">
      <c r="A1" s="4" t="s">
        <v>1140</v>
      </c>
      <c r="B1" s="4" t="s">
        <v>31</v>
      </c>
      <c r="C1" s="4" t="s">
        <v>954</v>
      </c>
      <c r="D1" s="4" t="s">
        <v>955</v>
      </c>
      <c r="E1" s="4" t="s">
        <v>956</v>
      </c>
      <c r="F1" s="4" t="s">
        <v>957</v>
      </c>
      <c r="G1" s="4" t="s">
        <v>1135</v>
      </c>
    </row>
    <row r="2" spans="1:7" x14ac:dyDescent="0.3">
      <c r="A2" s="5">
        <v>2</v>
      </c>
      <c r="B2" s="5">
        <f>INDEX(성적!$A$2:$G$39,문제보기!$A$2,COLUMN()-1)</f>
        <v>10101</v>
      </c>
      <c r="C2" s="8">
        <f>INDEX(성적!$A$2:$G$39,문제보기!$A$2,COLUMN()-1)</f>
        <v>44785</v>
      </c>
      <c r="D2" s="9">
        <f>INDEX(성적!$A$2:$G$39,문제보기!$A$2,COLUMN()-1)</f>
        <v>3.8958333333333338E-2</v>
      </c>
      <c r="E2" s="5" t="str">
        <f>INDEX(성적!$A$2:$G$39,문제보기!$A$2,COLUMN()-1)</f>
        <v>B</v>
      </c>
      <c r="F2" s="5">
        <f>INDEX(성적!$A$2:$G$39,문제보기!$A$2,COLUMN()-1)</f>
        <v>40</v>
      </c>
      <c r="G2" s="5" t="str">
        <f>INDEX(성적!$A$2:$G$39,문제보기!$A$2,COLUMN()-1)</f>
        <v>불합격</v>
      </c>
    </row>
    <row r="4" spans="1:7" x14ac:dyDescent="0.3">
      <c r="A4" s="3" t="s">
        <v>961</v>
      </c>
      <c r="B4" s="3" t="s">
        <v>962</v>
      </c>
      <c r="C4" s="3" t="s">
        <v>963</v>
      </c>
      <c r="D4" s="3" t="s">
        <v>1141</v>
      </c>
      <c r="E4" s="3" t="s">
        <v>1142</v>
      </c>
    </row>
    <row r="5" spans="1:7" x14ac:dyDescent="0.3">
      <c r="A5" s="3">
        <v>1</v>
      </c>
      <c r="B5" s="3" t="s">
        <v>286</v>
      </c>
      <c r="C5" s="3">
        <v>2</v>
      </c>
      <c r="D5" s="3">
        <v>2</v>
      </c>
      <c r="E5" s="3" t="s">
        <v>1183</v>
      </c>
    </row>
    <row r="6" spans="1:7" x14ac:dyDescent="0.3">
      <c r="A6" s="3">
        <v>1</v>
      </c>
      <c r="B6" s="3" t="s">
        <v>274</v>
      </c>
      <c r="C6" s="3">
        <v>3</v>
      </c>
      <c r="D6" s="3">
        <v>2</v>
      </c>
      <c r="E6" s="3" t="s">
        <v>1184</v>
      </c>
    </row>
    <row r="7" spans="1:7" x14ac:dyDescent="0.3">
      <c r="A7" s="3">
        <v>1</v>
      </c>
      <c r="B7" s="3" t="s">
        <v>487</v>
      </c>
      <c r="C7" s="3">
        <v>4</v>
      </c>
      <c r="D7" s="3">
        <v>4</v>
      </c>
      <c r="E7" s="3" t="s">
        <v>1183</v>
      </c>
    </row>
    <row r="8" spans="1:7" x14ac:dyDescent="0.3">
      <c r="A8" s="3">
        <v>1</v>
      </c>
      <c r="B8" s="3" t="s">
        <v>400</v>
      </c>
      <c r="C8" s="3">
        <v>3</v>
      </c>
      <c r="D8" s="3">
        <v>3</v>
      </c>
      <c r="E8" s="3" t="s">
        <v>1183</v>
      </c>
    </row>
    <row r="9" spans="1:7" x14ac:dyDescent="0.3">
      <c r="A9" s="3">
        <v>1</v>
      </c>
      <c r="B9" s="3" t="s">
        <v>499</v>
      </c>
      <c r="C9" s="3">
        <v>4</v>
      </c>
      <c r="D9" s="3">
        <v>1</v>
      </c>
      <c r="E9" s="3" t="s">
        <v>1184</v>
      </c>
    </row>
    <row r="10" spans="1:7" x14ac:dyDescent="0.3">
      <c r="A10" s="3">
        <v>1</v>
      </c>
      <c r="B10" s="3" t="s">
        <v>376</v>
      </c>
      <c r="C10" s="3">
        <v>1</v>
      </c>
      <c r="D10" s="3">
        <v>3</v>
      </c>
      <c r="E10" s="3" t="s">
        <v>1184</v>
      </c>
    </row>
    <row r="11" spans="1:7" x14ac:dyDescent="0.3">
      <c r="A11" s="3">
        <v>1</v>
      </c>
      <c r="B11" s="3" t="s">
        <v>316</v>
      </c>
      <c r="C11" s="3">
        <v>2</v>
      </c>
      <c r="D11" s="3">
        <v>2</v>
      </c>
      <c r="E11" s="3" t="s">
        <v>1183</v>
      </c>
    </row>
    <row r="12" spans="1:7" x14ac:dyDescent="0.3">
      <c r="A12" s="3">
        <v>1</v>
      </c>
      <c r="B12" s="3" t="s">
        <v>451</v>
      </c>
      <c r="C12" s="3">
        <v>3</v>
      </c>
      <c r="D12" s="3">
        <v>1</v>
      </c>
      <c r="E12" s="3" t="s">
        <v>1184</v>
      </c>
    </row>
    <row r="13" spans="1:7" x14ac:dyDescent="0.3">
      <c r="A13" s="3">
        <v>1</v>
      </c>
      <c r="B13" s="3" t="s">
        <v>418</v>
      </c>
      <c r="C13" s="3">
        <v>1</v>
      </c>
      <c r="D13" s="3">
        <v>4</v>
      </c>
      <c r="E13" s="3" t="s">
        <v>1184</v>
      </c>
    </row>
    <row r="14" spans="1:7" x14ac:dyDescent="0.3">
      <c r="A14" s="3">
        <v>1</v>
      </c>
      <c r="B14" s="3" t="s">
        <v>442</v>
      </c>
      <c r="C14" s="3">
        <v>1</v>
      </c>
      <c r="D14" s="3">
        <v>2</v>
      </c>
      <c r="E14" s="3" t="s">
        <v>1184</v>
      </c>
    </row>
    <row r="15" spans="1:7" x14ac:dyDescent="0.3">
      <c r="A15" s="3">
        <v>2</v>
      </c>
      <c r="B15" s="3" t="s">
        <v>608</v>
      </c>
      <c r="C15" s="3">
        <v>4</v>
      </c>
      <c r="D15" s="3">
        <v>3</v>
      </c>
      <c r="E15" s="3" t="s">
        <v>1184</v>
      </c>
    </row>
    <row r="16" spans="1:7" x14ac:dyDescent="0.3">
      <c r="A16" s="3">
        <v>2</v>
      </c>
      <c r="B16" s="3" t="s">
        <v>559</v>
      </c>
      <c r="C16" s="3">
        <v>1</v>
      </c>
      <c r="D16" s="3">
        <v>4</v>
      </c>
      <c r="E16" s="3" t="s">
        <v>1184</v>
      </c>
    </row>
    <row r="17" spans="1:5" x14ac:dyDescent="0.3">
      <c r="A17" s="3">
        <v>2</v>
      </c>
      <c r="B17" s="3" t="s">
        <v>547</v>
      </c>
      <c r="C17" s="3">
        <v>3</v>
      </c>
      <c r="D17" s="3">
        <v>2</v>
      </c>
      <c r="E17" s="3" t="s">
        <v>1184</v>
      </c>
    </row>
    <row r="18" spans="1:5" x14ac:dyDescent="0.3">
      <c r="A18" s="3">
        <v>2</v>
      </c>
      <c r="B18" s="3" t="s">
        <v>682</v>
      </c>
      <c r="C18" s="3">
        <v>2</v>
      </c>
      <c r="D18" s="3">
        <v>2</v>
      </c>
      <c r="E18" s="3" t="s">
        <v>1183</v>
      </c>
    </row>
    <row r="19" spans="1:5" x14ac:dyDescent="0.3">
      <c r="A19" s="3">
        <v>2</v>
      </c>
      <c r="B19" s="3" t="s">
        <v>505</v>
      </c>
      <c r="C19" s="3">
        <v>3</v>
      </c>
      <c r="D19" s="3">
        <v>1</v>
      </c>
      <c r="E19" s="3" t="s">
        <v>1184</v>
      </c>
    </row>
    <row r="20" spans="1:5" x14ac:dyDescent="0.3">
      <c r="A20" s="3">
        <v>2</v>
      </c>
      <c r="B20" s="3" t="s">
        <v>583</v>
      </c>
      <c r="C20" s="3">
        <v>2</v>
      </c>
      <c r="D20" s="3">
        <v>3</v>
      </c>
      <c r="E20" s="3" t="s">
        <v>1184</v>
      </c>
    </row>
    <row r="21" spans="1:5" x14ac:dyDescent="0.3">
      <c r="A21" s="3">
        <v>2</v>
      </c>
      <c r="B21" s="3" t="s">
        <v>553</v>
      </c>
      <c r="C21" s="3">
        <v>1</v>
      </c>
      <c r="D21" s="3">
        <v>1</v>
      </c>
      <c r="E21" s="3" t="s">
        <v>1183</v>
      </c>
    </row>
    <row r="22" spans="1:5" x14ac:dyDescent="0.3">
      <c r="A22" s="3">
        <v>2</v>
      </c>
      <c r="B22" s="3" t="s">
        <v>656</v>
      </c>
      <c r="C22" s="3">
        <v>3</v>
      </c>
      <c r="D22" s="3">
        <v>1</v>
      </c>
      <c r="E22" s="3" t="s">
        <v>1184</v>
      </c>
    </row>
    <row r="23" spans="1:5" x14ac:dyDescent="0.3">
      <c r="A23" s="3">
        <v>2</v>
      </c>
      <c r="B23" s="3" t="s">
        <v>650</v>
      </c>
      <c r="C23" s="3">
        <v>1</v>
      </c>
      <c r="D23" s="3">
        <v>1</v>
      </c>
      <c r="E23" s="3" t="s">
        <v>1183</v>
      </c>
    </row>
    <row r="24" spans="1:5" x14ac:dyDescent="0.3">
      <c r="A24" s="3">
        <v>2</v>
      </c>
      <c r="B24" s="3" t="s">
        <v>730</v>
      </c>
      <c r="C24" s="3">
        <v>2</v>
      </c>
      <c r="D24" s="3">
        <v>2</v>
      </c>
      <c r="E24" s="3" t="s">
        <v>1183</v>
      </c>
    </row>
    <row r="25" spans="1:5" x14ac:dyDescent="0.3">
      <c r="A25" s="3">
        <v>3</v>
      </c>
      <c r="B25" s="3" t="s">
        <v>286</v>
      </c>
      <c r="C25" s="3">
        <v>2</v>
      </c>
      <c r="D25" s="3">
        <v>2</v>
      </c>
      <c r="E25" s="3" t="s">
        <v>1183</v>
      </c>
    </row>
    <row r="26" spans="1:5" x14ac:dyDescent="0.3">
      <c r="A26" s="3">
        <v>3</v>
      </c>
      <c r="B26" s="3" t="s">
        <v>382</v>
      </c>
      <c r="C26" s="3">
        <v>4</v>
      </c>
      <c r="D26" s="3">
        <v>4</v>
      </c>
      <c r="E26" s="3" t="s">
        <v>1183</v>
      </c>
    </row>
    <row r="27" spans="1:5" x14ac:dyDescent="0.3">
      <c r="A27" s="3">
        <v>3</v>
      </c>
      <c r="B27" s="3" t="s">
        <v>436</v>
      </c>
      <c r="C27" s="3">
        <v>1</v>
      </c>
      <c r="D27" s="3">
        <v>2</v>
      </c>
      <c r="E27" s="3" t="s">
        <v>1184</v>
      </c>
    </row>
    <row r="28" spans="1:5" x14ac:dyDescent="0.3">
      <c r="A28" s="3">
        <v>3</v>
      </c>
      <c r="B28" s="3" t="s">
        <v>451</v>
      </c>
      <c r="C28" s="3">
        <v>1</v>
      </c>
      <c r="D28" s="3">
        <v>1</v>
      </c>
      <c r="E28" s="3" t="s">
        <v>1183</v>
      </c>
    </row>
    <row r="29" spans="1:5" x14ac:dyDescent="0.3">
      <c r="A29" s="3">
        <v>3</v>
      </c>
      <c r="B29" s="3" t="s">
        <v>304</v>
      </c>
      <c r="C29" s="3">
        <v>3</v>
      </c>
      <c r="D29" s="3">
        <v>1</v>
      </c>
      <c r="E29" s="3" t="s">
        <v>1184</v>
      </c>
    </row>
    <row r="30" spans="1:5" x14ac:dyDescent="0.3">
      <c r="A30" s="3">
        <v>3</v>
      </c>
      <c r="B30" s="3" t="s">
        <v>499</v>
      </c>
      <c r="C30" s="3">
        <v>1</v>
      </c>
      <c r="D30" s="3">
        <v>1</v>
      </c>
      <c r="E30" s="3" t="s">
        <v>1183</v>
      </c>
    </row>
    <row r="31" spans="1:5" x14ac:dyDescent="0.3">
      <c r="A31" s="3">
        <v>3</v>
      </c>
      <c r="B31" s="3" t="s">
        <v>400</v>
      </c>
      <c r="C31" s="3">
        <v>3</v>
      </c>
      <c r="D31" s="3">
        <v>3</v>
      </c>
      <c r="E31" s="3" t="s">
        <v>1183</v>
      </c>
    </row>
    <row r="32" spans="1:5" x14ac:dyDescent="0.3">
      <c r="A32" s="3">
        <v>3</v>
      </c>
      <c r="B32" s="3" t="s">
        <v>463</v>
      </c>
      <c r="C32" s="3">
        <v>4</v>
      </c>
      <c r="D32" s="3">
        <v>4</v>
      </c>
      <c r="E32" s="3" t="s">
        <v>1183</v>
      </c>
    </row>
    <row r="33" spans="1:5" x14ac:dyDescent="0.3">
      <c r="A33" s="3">
        <v>3</v>
      </c>
      <c r="B33" s="3" t="s">
        <v>328</v>
      </c>
      <c r="C33" s="3">
        <v>3</v>
      </c>
      <c r="D33" s="3">
        <v>3</v>
      </c>
      <c r="E33" s="3" t="s">
        <v>1183</v>
      </c>
    </row>
    <row r="34" spans="1:5" x14ac:dyDescent="0.3">
      <c r="A34" s="3">
        <v>3</v>
      </c>
      <c r="B34" s="3" t="s">
        <v>388</v>
      </c>
      <c r="C34" s="3">
        <v>2</v>
      </c>
      <c r="D34" s="3">
        <v>2</v>
      </c>
      <c r="E34" s="3" t="s">
        <v>1183</v>
      </c>
    </row>
    <row r="35" spans="1:5" x14ac:dyDescent="0.3">
      <c r="A35" s="3">
        <v>4</v>
      </c>
      <c r="B35" s="3" t="s">
        <v>608</v>
      </c>
      <c r="C35" s="3">
        <v>2</v>
      </c>
      <c r="D35" s="3">
        <v>3</v>
      </c>
      <c r="E35" s="3" t="s">
        <v>1184</v>
      </c>
    </row>
    <row r="36" spans="1:5" x14ac:dyDescent="0.3">
      <c r="A36" s="3">
        <v>4</v>
      </c>
      <c r="B36" s="3" t="s">
        <v>666</v>
      </c>
      <c r="C36" s="3">
        <v>4</v>
      </c>
      <c r="D36" s="3">
        <v>4</v>
      </c>
      <c r="E36" s="3" t="s">
        <v>1183</v>
      </c>
    </row>
    <row r="37" spans="1:5" x14ac:dyDescent="0.3">
      <c r="A37" s="3">
        <v>4</v>
      </c>
      <c r="B37" s="3" t="s">
        <v>553</v>
      </c>
      <c r="C37" s="3">
        <v>3</v>
      </c>
      <c r="D37" s="3">
        <v>1</v>
      </c>
      <c r="E37" s="3" t="s">
        <v>1184</v>
      </c>
    </row>
    <row r="38" spans="1:5" x14ac:dyDescent="0.3">
      <c r="A38" s="3">
        <v>4</v>
      </c>
      <c r="B38" s="3" t="s">
        <v>730</v>
      </c>
      <c r="C38" s="3">
        <v>2</v>
      </c>
      <c r="D38" s="3">
        <v>2</v>
      </c>
      <c r="E38" s="3" t="s">
        <v>1183</v>
      </c>
    </row>
    <row r="39" spans="1:5" x14ac:dyDescent="0.3">
      <c r="A39" s="3">
        <v>4</v>
      </c>
      <c r="B39" s="3" t="s">
        <v>588</v>
      </c>
      <c r="C39" s="3">
        <v>3</v>
      </c>
      <c r="D39" s="3">
        <v>3</v>
      </c>
      <c r="E39" s="3" t="s">
        <v>1183</v>
      </c>
    </row>
    <row r="40" spans="1:5" x14ac:dyDescent="0.3">
      <c r="A40" s="3">
        <v>4</v>
      </c>
      <c r="B40" s="3" t="s">
        <v>590</v>
      </c>
      <c r="C40" s="3">
        <v>1</v>
      </c>
      <c r="D40" s="3">
        <v>4</v>
      </c>
      <c r="E40" s="3" t="s">
        <v>1184</v>
      </c>
    </row>
    <row r="41" spans="1:5" x14ac:dyDescent="0.3">
      <c r="A41" s="3">
        <v>4</v>
      </c>
      <c r="B41" s="3" t="s">
        <v>511</v>
      </c>
      <c r="C41" s="3">
        <v>2</v>
      </c>
      <c r="D41" s="3">
        <v>2</v>
      </c>
      <c r="E41" s="3" t="s">
        <v>1183</v>
      </c>
    </row>
    <row r="42" spans="1:5" x14ac:dyDescent="0.3">
      <c r="A42" s="3">
        <v>4</v>
      </c>
      <c r="B42" s="3" t="s">
        <v>614</v>
      </c>
      <c r="C42" s="3">
        <v>3</v>
      </c>
      <c r="D42" s="3">
        <v>3</v>
      </c>
      <c r="E42" s="3" t="s">
        <v>1183</v>
      </c>
    </row>
    <row r="43" spans="1:5" x14ac:dyDescent="0.3">
      <c r="A43" s="3">
        <v>4</v>
      </c>
      <c r="B43" s="3" t="s">
        <v>547</v>
      </c>
      <c r="C43" s="3">
        <v>1</v>
      </c>
      <c r="D43" s="3">
        <v>2</v>
      </c>
      <c r="E43" s="3" t="s">
        <v>1184</v>
      </c>
    </row>
    <row r="44" spans="1:5" x14ac:dyDescent="0.3">
      <c r="A44" s="3">
        <v>4</v>
      </c>
      <c r="B44" s="3" t="s">
        <v>602</v>
      </c>
      <c r="C44" s="3">
        <v>2</v>
      </c>
      <c r="D44" s="3">
        <v>2</v>
      </c>
      <c r="E44" s="3" t="s">
        <v>1183</v>
      </c>
    </row>
    <row r="45" spans="1:5" x14ac:dyDescent="0.3">
      <c r="A45" s="3">
        <v>5</v>
      </c>
      <c r="B45" s="3" t="s">
        <v>752</v>
      </c>
      <c r="C45" s="3">
        <v>1</v>
      </c>
      <c r="D45" s="3">
        <v>1</v>
      </c>
      <c r="E45" s="3" t="s">
        <v>1183</v>
      </c>
    </row>
    <row r="46" spans="1:5" x14ac:dyDescent="0.3">
      <c r="A46" s="3">
        <v>5</v>
      </c>
      <c r="B46" s="3" t="s">
        <v>953</v>
      </c>
      <c r="C46" s="3">
        <v>1</v>
      </c>
      <c r="D46" s="3" t="s">
        <v>1182</v>
      </c>
      <c r="E46" s="3" t="s">
        <v>1182</v>
      </c>
    </row>
    <row r="47" spans="1:5" x14ac:dyDescent="0.3">
      <c r="A47" s="3">
        <v>5</v>
      </c>
      <c r="B47" s="3" t="s">
        <v>840</v>
      </c>
      <c r="C47" s="3">
        <v>3</v>
      </c>
      <c r="D47" s="3">
        <v>1</v>
      </c>
      <c r="E47" s="3" t="s">
        <v>1184</v>
      </c>
    </row>
    <row r="48" spans="1:5" x14ac:dyDescent="0.3">
      <c r="A48" s="3">
        <v>5</v>
      </c>
      <c r="B48" s="3" t="s">
        <v>871</v>
      </c>
      <c r="C48" s="3">
        <v>1</v>
      </c>
      <c r="D48" s="3">
        <v>1</v>
      </c>
      <c r="E48" s="3" t="s">
        <v>1183</v>
      </c>
    </row>
    <row r="49" spans="1:5" x14ac:dyDescent="0.3">
      <c r="A49" s="3">
        <v>5</v>
      </c>
      <c r="B49" s="3" t="s">
        <v>937</v>
      </c>
      <c r="C49" s="3">
        <v>2</v>
      </c>
      <c r="D49" s="3">
        <v>2</v>
      </c>
      <c r="E49" s="3" t="s">
        <v>1183</v>
      </c>
    </row>
    <row r="50" spans="1:5" x14ac:dyDescent="0.3">
      <c r="A50" s="3">
        <v>5</v>
      </c>
      <c r="B50" s="3" t="s">
        <v>928</v>
      </c>
      <c r="C50" s="3">
        <v>2</v>
      </c>
      <c r="D50" s="3">
        <v>2</v>
      </c>
      <c r="E50" s="3" t="s">
        <v>1183</v>
      </c>
    </row>
    <row r="51" spans="1:5" x14ac:dyDescent="0.3">
      <c r="A51" s="3">
        <v>5</v>
      </c>
      <c r="B51" s="3" t="s">
        <v>740</v>
      </c>
      <c r="C51" s="3">
        <v>3</v>
      </c>
      <c r="D51" s="3">
        <v>4</v>
      </c>
      <c r="E51" s="3" t="s">
        <v>1184</v>
      </c>
    </row>
    <row r="52" spans="1:5" x14ac:dyDescent="0.3">
      <c r="A52" s="3">
        <v>5</v>
      </c>
      <c r="B52" s="3" t="s">
        <v>734</v>
      </c>
      <c r="C52" s="3">
        <v>1</v>
      </c>
      <c r="D52" s="3">
        <v>3</v>
      </c>
      <c r="E52" s="3" t="s">
        <v>1184</v>
      </c>
    </row>
    <row r="53" spans="1:5" x14ac:dyDescent="0.3">
      <c r="A53" s="3">
        <v>5</v>
      </c>
      <c r="B53" s="3" t="s">
        <v>858</v>
      </c>
      <c r="C53" s="3">
        <v>4</v>
      </c>
      <c r="D53" s="3">
        <v>2</v>
      </c>
      <c r="E53" s="3" t="s">
        <v>1184</v>
      </c>
    </row>
    <row r="54" spans="1:5" x14ac:dyDescent="0.3">
      <c r="A54" s="3">
        <v>5</v>
      </c>
      <c r="B54" s="3" t="s">
        <v>925</v>
      </c>
      <c r="C54" s="3">
        <v>2</v>
      </c>
      <c r="D54" s="3">
        <v>1</v>
      </c>
      <c r="E54" s="3" t="s">
        <v>1184</v>
      </c>
    </row>
    <row r="55" spans="1:5" x14ac:dyDescent="0.3">
      <c r="A55" s="3">
        <v>6</v>
      </c>
      <c r="B55" s="3" t="s">
        <v>752</v>
      </c>
      <c r="C55" s="3">
        <v>1</v>
      </c>
      <c r="D55" s="3">
        <v>1</v>
      </c>
      <c r="E55" s="3" t="s">
        <v>1183</v>
      </c>
    </row>
    <row r="56" spans="1:5" x14ac:dyDescent="0.3">
      <c r="A56" s="3">
        <v>6</v>
      </c>
      <c r="B56" s="3" t="s">
        <v>953</v>
      </c>
      <c r="C56" s="3">
        <v>4</v>
      </c>
      <c r="D56" s="3" t="s">
        <v>1182</v>
      </c>
      <c r="E56" s="3" t="s">
        <v>1182</v>
      </c>
    </row>
    <row r="57" spans="1:5" x14ac:dyDescent="0.3">
      <c r="A57" s="3">
        <v>6</v>
      </c>
      <c r="B57" s="3" t="s">
        <v>840</v>
      </c>
      <c r="C57" s="3">
        <v>2</v>
      </c>
      <c r="D57" s="3">
        <v>1</v>
      </c>
      <c r="E57" s="3" t="s">
        <v>1184</v>
      </c>
    </row>
    <row r="58" spans="1:5" x14ac:dyDescent="0.3">
      <c r="A58" s="3">
        <v>6</v>
      </c>
      <c r="B58" s="3" t="s">
        <v>871</v>
      </c>
      <c r="C58" s="3">
        <v>2</v>
      </c>
      <c r="D58" s="3">
        <v>1</v>
      </c>
      <c r="E58" s="3" t="s">
        <v>1184</v>
      </c>
    </row>
    <row r="59" spans="1:5" x14ac:dyDescent="0.3">
      <c r="A59" s="3">
        <v>6</v>
      </c>
      <c r="B59" s="3" t="s">
        <v>937</v>
      </c>
      <c r="C59" s="3">
        <v>2</v>
      </c>
      <c r="D59" s="3">
        <v>2</v>
      </c>
      <c r="E59" s="3" t="s">
        <v>1183</v>
      </c>
    </row>
    <row r="60" spans="1:5" x14ac:dyDescent="0.3">
      <c r="A60" s="3">
        <v>6</v>
      </c>
      <c r="B60" s="3" t="s">
        <v>928</v>
      </c>
      <c r="C60" s="3">
        <v>4</v>
      </c>
      <c r="D60" s="3">
        <v>2</v>
      </c>
      <c r="E60" s="3" t="s">
        <v>1184</v>
      </c>
    </row>
    <row r="61" spans="1:5" x14ac:dyDescent="0.3">
      <c r="A61" s="3">
        <v>6</v>
      </c>
      <c r="B61" s="3" t="s">
        <v>740</v>
      </c>
      <c r="C61" s="3">
        <v>4</v>
      </c>
      <c r="D61" s="3">
        <v>4</v>
      </c>
      <c r="E61" s="3" t="s">
        <v>1183</v>
      </c>
    </row>
    <row r="62" spans="1:5" x14ac:dyDescent="0.3">
      <c r="A62" s="3">
        <v>6</v>
      </c>
      <c r="B62" s="3" t="s">
        <v>734</v>
      </c>
      <c r="C62" s="3">
        <v>3</v>
      </c>
      <c r="D62" s="3">
        <v>3</v>
      </c>
      <c r="E62" s="3" t="s">
        <v>1183</v>
      </c>
    </row>
    <row r="63" spans="1:5" x14ac:dyDescent="0.3">
      <c r="A63" s="3">
        <v>6</v>
      </c>
      <c r="B63" s="3" t="s">
        <v>858</v>
      </c>
      <c r="C63" s="3">
        <v>1</v>
      </c>
      <c r="D63" s="3">
        <v>2</v>
      </c>
      <c r="E63" s="3" t="s">
        <v>1184</v>
      </c>
    </row>
    <row r="64" spans="1:5" x14ac:dyDescent="0.3">
      <c r="A64" s="3">
        <v>6</v>
      </c>
      <c r="B64" s="3" t="s">
        <v>925</v>
      </c>
      <c r="C64" s="3">
        <v>4</v>
      </c>
      <c r="D64" s="3">
        <v>1</v>
      </c>
      <c r="E64" s="3" t="s">
        <v>1184</v>
      </c>
    </row>
    <row r="65" spans="1:5" x14ac:dyDescent="0.3">
      <c r="A65" s="3">
        <v>7</v>
      </c>
      <c r="B65" s="3" t="s">
        <v>752</v>
      </c>
      <c r="C65" s="3">
        <v>2</v>
      </c>
      <c r="D65" s="3">
        <v>1</v>
      </c>
      <c r="E65" s="3" t="s">
        <v>1184</v>
      </c>
    </row>
    <row r="66" spans="1:5" x14ac:dyDescent="0.3">
      <c r="A66" s="3">
        <v>7</v>
      </c>
      <c r="B66" s="3" t="s">
        <v>953</v>
      </c>
      <c r="C66" s="3">
        <v>4</v>
      </c>
      <c r="D66" s="3" t="s">
        <v>1182</v>
      </c>
      <c r="E66" s="3" t="s">
        <v>1182</v>
      </c>
    </row>
    <row r="67" spans="1:5" x14ac:dyDescent="0.3">
      <c r="A67" s="3">
        <v>7</v>
      </c>
      <c r="B67" s="3" t="s">
        <v>840</v>
      </c>
      <c r="C67" s="3">
        <v>1</v>
      </c>
      <c r="D67" s="3">
        <v>1</v>
      </c>
      <c r="E67" s="3" t="s">
        <v>1183</v>
      </c>
    </row>
    <row r="68" spans="1:5" x14ac:dyDescent="0.3">
      <c r="A68" s="3">
        <v>7</v>
      </c>
      <c r="B68" s="3" t="s">
        <v>871</v>
      </c>
      <c r="C68" s="3">
        <v>3</v>
      </c>
      <c r="D68" s="3">
        <v>1</v>
      </c>
      <c r="E68" s="3" t="s">
        <v>1184</v>
      </c>
    </row>
    <row r="69" spans="1:5" x14ac:dyDescent="0.3">
      <c r="A69" s="3">
        <v>7</v>
      </c>
      <c r="B69" s="3" t="s">
        <v>937</v>
      </c>
      <c r="C69" s="3">
        <v>2</v>
      </c>
      <c r="D69" s="3">
        <v>2</v>
      </c>
      <c r="E69" s="3" t="s">
        <v>1183</v>
      </c>
    </row>
    <row r="70" spans="1:5" x14ac:dyDescent="0.3">
      <c r="A70" s="3">
        <v>7</v>
      </c>
      <c r="B70" s="3" t="s">
        <v>928</v>
      </c>
      <c r="C70" s="3">
        <v>1</v>
      </c>
      <c r="D70" s="3">
        <v>2</v>
      </c>
      <c r="E70" s="3" t="s">
        <v>1184</v>
      </c>
    </row>
    <row r="71" spans="1:5" x14ac:dyDescent="0.3">
      <c r="A71" s="3">
        <v>7</v>
      </c>
      <c r="B71" s="3" t="s">
        <v>740</v>
      </c>
      <c r="C71" s="3">
        <v>4</v>
      </c>
      <c r="D71" s="3">
        <v>4</v>
      </c>
      <c r="E71" s="3" t="s">
        <v>1183</v>
      </c>
    </row>
    <row r="72" spans="1:5" x14ac:dyDescent="0.3">
      <c r="A72" s="3">
        <v>7</v>
      </c>
      <c r="B72" s="3" t="s">
        <v>734</v>
      </c>
      <c r="C72" s="3">
        <v>3</v>
      </c>
      <c r="D72" s="3">
        <v>3</v>
      </c>
      <c r="E72" s="3" t="s">
        <v>1183</v>
      </c>
    </row>
    <row r="73" spans="1:5" x14ac:dyDescent="0.3">
      <c r="A73" s="3">
        <v>7</v>
      </c>
      <c r="B73" s="3" t="s">
        <v>858</v>
      </c>
      <c r="C73" s="3">
        <v>2</v>
      </c>
      <c r="D73" s="3">
        <v>2</v>
      </c>
      <c r="E73" s="3" t="s">
        <v>1183</v>
      </c>
    </row>
    <row r="74" spans="1:5" x14ac:dyDescent="0.3">
      <c r="A74" s="3">
        <v>7</v>
      </c>
      <c r="B74" s="3" t="s">
        <v>925</v>
      </c>
      <c r="C74" s="3">
        <v>1</v>
      </c>
      <c r="D74" s="3">
        <v>1</v>
      </c>
      <c r="E74" s="3" t="s">
        <v>1183</v>
      </c>
    </row>
    <row r="75" spans="1:5" x14ac:dyDescent="0.3">
      <c r="A75" s="3">
        <v>8</v>
      </c>
      <c r="B75" s="3" t="s">
        <v>608</v>
      </c>
      <c r="C75" s="3">
        <v>1</v>
      </c>
      <c r="D75" s="3">
        <v>3</v>
      </c>
      <c r="E75" s="3" t="s">
        <v>1184</v>
      </c>
    </row>
    <row r="76" spans="1:5" x14ac:dyDescent="0.3">
      <c r="A76" s="3">
        <v>8</v>
      </c>
      <c r="B76" s="3" t="s">
        <v>666</v>
      </c>
      <c r="C76" s="3">
        <v>4</v>
      </c>
      <c r="D76" s="3">
        <v>4</v>
      </c>
      <c r="E76" s="3" t="s">
        <v>1183</v>
      </c>
    </row>
    <row r="77" spans="1:5" x14ac:dyDescent="0.3">
      <c r="A77" s="3">
        <v>8</v>
      </c>
      <c r="B77" s="3" t="s">
        <v>553</v>
      </c>
      <c r="C77" s="3">
        <v>2</v>
      </c>
      <c r="D77" s="3">
        <v>1</v>
      </c>
      <c r="E77" s="3" t="s">
        <v>1184</v>
      </c>
    </row>
    <row r="78" spans="1:5" x14ac:dyDescent="0.3">
      <c r="A78" s="3">
        <v>8</v>
      </c>
      <c r="B78" s="3" t="s">
        <v>730</v>
      </c>
      <c r="C78" s="3">
        <v>3</v>
      </c>
      <c r="D78" s="3">
        <v>2</v>
      </c>
      <c r="E78" s="3" t="s">
        <v>1184</v>
      </c>
    </row>
    <row r="79" spans="1:5" x14ac:dyDescent="0.3">
      <c r="A79" s="3">
        <v>8</v>
      </c>
      <c r="B79" s="3" t="s">
        <v>588</v>
      </c>
      <c r="C79" s="3">
        <v>4</v>
      </c>
      <c r="D79" s="3">
        <v>3</v>
      </c>
      <c r="E79" s="3" t="s">
        <v>1184</v>
      </c>
    </row>
    <row r="80" spans="1:5" x14ac:dyDescent="0.3">
      <c r="A80" s="3">
        <v>8</v>
      </c>
      <c r="B80" s="3" t="s">
        <v>590</v>
      </c>
      <c r="C80" s="3">
        <v>1</v>
      </c>
      <c r="D80" s="3">
        <v>4</v>
      </c>
      <c r="E80" s="3" t="s">
        <v>1184</v>
      </c>
    </row>
    <row r="81" spans="1:5" x14ac:dyDescent="0.3">
      <c r="A81" s="3">
        <v>8</v>
      </c>
      <c r="B81" s="3" t="s">
        <v>511</v>
      </c>
      <c r="C81" s="3">
        <v>3</v>
      </c>
      <c r="D81" s="3">
        <v>2</v>
      </c>
      <c r="E81" s="3" t="s">
        <v>1184</v>
      </c>
    </row>
    <row r="82" spans="1:5" x14ac:dyDescent="0.3">
      <c r="A82" s="3">
        <v>8</v>
      </c>
      <c r="B82" s="3" t="s">
        <v>614</v>
      </c>
      <c r="C82" s="3">
        <v>2</v>
      </c>
      <c r="D82" s="3">
        <v>3</v>
      </c>
      <c r="E82" s="3" t="s">
        <v>1184</v>
      </c>
    </row>
    <row r="83" spans="1:5" x14ac:dyDescent="0.3">
      <c r="A83" s="3">
        <v>8</v>
      </c>
      <c r="B83" s="3" t="s">
        <v>547</v>
      </c>
      <c r="C83" s="3">
        <v>1</v>
      </c>
      <c r="D83" s="3">
        <v>2</v>
      </c>
      <c r="E83" s="3" t="s">
        <v>1184</v>
      </c>
    </row>
    <row r="84" spans="1:5" x14ac:dyDescent="0.3">
      <c r="A84" s="3">
        <v>8</v>
      </c>
      <c r="B84" s="3" t="s">
        <v>602</v>
      </c>
      <c r="C84" s="3">
        <v>4</v>
      </c>
      <c r="D84" s="3">
        <v>2</v>
      </c>
      <c r="E84" s="3" t="s">
        <v>1184</v>
      </c>
    </row>
    <row r="85" spans="1:5" x14ac:dyDescent="0.3">
      <c r="A85" s="3">
        <v>9</v>
      </c>
      <c r="B85" s="3" t="s">
        <v>499</v>
      </c>
      <c r="C85" s="3">
        <v>3</v>
      </c>
      <c r="D85" s="3">
        <v>1</v>
      </c>
      <c r="E85" s="3" t="s">
        <v>1184</v>
      </c>
    </row>
    <row r="86" spans="1:5" x14ac:dyDescent="0.3">
      <c r="A86" s="3">
        <v>9</v>
      </c>
      <c r="B86" s="3" t="s">
        <v>274</v>
      </c>
      <c r="C86" s="3">
        <v>2</v>
      </c>
      <c r="D86" s="3">
        <v>2</v>
      </c>
      <c r="E86" s="3" t="s">
        <v>1183</v>
      </c>
    </row>
    <row r="87" spans="1:5" x14ac:dyDescent="0.3">
      <c r="A87" s="3">
        <v>9</v>
      </c>
      <c r="B87" s="3" t="s">
        <v>412</v>
      </c>
      <c r="C87" s="3">
        <v>3</v>
      </c>
      <c r="D87" s="3">
        <v>4</v>
      </c>
      <c r="E87" s="3" t="s">
        <v>1184</v>
      </c>
    </row>
    <row r="88" spans="1:5" x14ac:dyDescent="0.3">
      <c r="A88" s="3">
        <v>9</v>
      </c>
      <c r="B88" s="3" t="s">
        <v>352</v>
      </c>
      <c r="C88" s="3">
        <v>1</v>
      </c>
      <c r="D88" s="3">
        <v>1</v>
      </c>
      <c r="E88" s="3" t="s">
        <v>1183</v>
      </c>
    </row>
    <row r="89" spans="1:5" x14ac:dyDescent="0.3">
      <c r="A89" s="3">
        <v>9</v>
      </c>
      <c r="B89" s="3" t="s">
        <v>316</v>
      </c>
      <c r="C89" s="3">
        <v>3</v>
      </c>
      <c r="D89" s="3">
        <v>2</v>
      </c>
      <c r="E89" s="3" t="s">
        <v>1184</v>
      </c>
    </row>
    <row r="90" spans="1:5" x14ac:dyDescent="0.3">
      <c r="A90" s="3">
        <v>9</v>
      </c>
      <c r="B90" s="3" t="s">
        <v>469</v>
      </c>
      <c r="C90" s="3">
        <v>1</v>
      </c>
      <c r="D90" s="3">
        <v>2</v>
      </c>
      <c r="E90" s="3" t="s">
        <v>1184</v>
      </c>
    </row>
    <row r="91" spans="1:5" x14ac:dyDescent="0.3">
      <c r="A91" s="3">
        <v>9</v>
      </c>
      <c r="B91" s="3" t="s">
        <v>394</v>
      </c>
      <c r="C91" s="3">
        <v>1</v>
      </c>
      <c r="D91" s="3">
        <v>1</v>
      </c>
      <c r="E91" s="3" t="s">
        <v>1183</v>
      </c>
    </row>
    <row r="92" spans="1:5" x14ac:dyDescent="0.3">
      <c r="A92" s="3">
        <v>9</v>
      </c>
      <c r="B92" s="3" t="s">
        <v>493</v>
      </c>
      <c r="C92" s="3">
        <v>1</v>
      </c>
      <c r="D92" s="3">
        <v>1</v>
      </c>
      <c r="E92" s="3" t="s">
        <v>1183</v>
      </c>
    </row>
    <row r="93" spans="1:5" x14ac:dyDescent="0.3">
      <c r="A93" s="3">
        <v>9</v>
      </c>
      <c r="B93" s="3" t="s">
        <v>334</v>
      </c>
      <c r="C93" s="3">
        <v>2</v>
      </c>
      <c r="D93" s="3">
        <v>2</v>
      </c>
      <c r="E93" s="3" t="s">
        <v>1183</v>
      </c>
    </row>
    <row r="94" spans="1:5" x14ac:dyDescent="0.3">
      <c r="A94" s="3">
        <v>9</v>
      </c>
      <c r="B94" s="3" t="s">
        <v>382</v>
      </c>
      <c r="C94" s="3">
        <v>4</v>
      </c>
      <c r="D94" s="3">
        <v>4</v>
      </c>
      <c r="E94" s="3" t="s">
        <v>1183</v>
      </c>
    </row>
    <row r="95" spans="1:5" x14ac:dyDescent="0.3">
      <c r="A95" s="3">
        <v>10</v>
      </c>
      <c r="B95" s="3" t="s">
        <v>274</v>
      </c>
      <c r="C95" s="3">
        <v>2</v>
      </c>
      <c r="D95" s="3">
        <v>2</v>
      </c>
      <c r="E95" s="3" t="s">
        <v>1183</v>
      </c>
    </row>
    <row r="96" spans="1:5" x14ac:dyDescent="0.3">
      <c r="A96" s="3">
        <v>10</v>
      </c>
      <c r="B96" s="3" t="s">
        <v>280</v>
      </c>
      <c r="C96" s="3">
        <v>3</v>
      </c>
      <c r="D96" s="3">
        <v>3</v>
      </c>
      <c r="E96" s="3" t="s">
        <v>1183</v>
      </c>
    </row>
    <row r="97" spans="1:5" x14ac:dyDescent="0.3">
      <c r="A97" s="3">
        <v>10</v>
      </c>
      <c r="B97" s="3" t="s">
        <v>286</v>
      </c>
      <c r="C97" s="3">
        <v>2</v>
      </c>
      <c r="D97" s="3">
        <v>2</v>
      </c>
      <c r="E97" s="3" t="s">
        <v>1183</v>
      </c>
    </row>
    <row r="98" spans="1:5" x14ac:dyDescent="0.3">
      <c r="A98" s="3">
        <v>10</v>
      </c>
      <c r="B98" s="3" t="s">
        <v>499</v>
      </c>
      <c r="C98" s="3">
        <v>1</v>
      </c>
      <c r="D98" s="3">
        <v>1</v>
      </c>
      <c r="E98" s="3" t="s">
        <v>1183</v>
      </c>
    </row>
    <row r="99" spans="1:5" x14ac:dyDescent="0.3">
      <c r="A99" s="3">
        <v>10</v>
      </c>
      <c r="B99" s="3" t="s">
        <v>298</v>
      </c>
      <c r="C99" s="3">
        <v>4</v>
      </c>
      <c r="D99" s="3">
        <v>4</v>
      </c>
      <c r="E99" s="3" t="s">
        <v>1183</v>
      </c>
    </row>
    <row r="100" spans="1:5" x14ac:dyDescent="0.3">
      <c r="A100" s="3">
        <v>10</v>
      </c>
      <c r="B100" s="3" t="s">
        <v>352</v>
      </c>
      <c r="C100" s="3">
        <v>1</v>
      </c>
      <c r="D100" s="3">
        <v>1</v>
      </c>
      <c r="E100" s="3" t="s">
        <v>1183</v>
      </c>
    </row>
    <row r="101" spans="1:5" x14ac:dyDescent="0.3">
      <c r="A101" s="3">
        <v>10</v>
      </c>
      <c r="B101" s="3" t="s">
        <v>424</v>
      </c>
      <c r="C101" s="3">
        <v>3</v>
      </c>
      <c r="D101" s="3">
        <v>3</v>
      </c>
      <c r="E101" s="3" t="s">
        <v>1183</v>
      </c>
    </row>
    <row r="102" spans="1:5" x14ac:dyDescent="0.3">
      <c r="A102" s="3">
        <v>10</v>
      </c>
      <c r="B102" s="3" t="s">
        <v>412</v>
      </c>
      <c r="C102" s="3">
        <v>4</v>
      </c>
      <c r="D102" s="3">
        <v>4</v>
      </c>
      <c r="E102" s="3" t="s">
        <v>1183</v>
      </c>
    </row>
    <row r="103" spans="1:5" x14ac:dyDescent="0.3">
      <c r="A103" s="3">
        <v>10</v>
      </c>
      <c r="B103" s="3" t="s">
        <v>457</v>
      </c>
      <c r="C103" s="3">
        <v>4</v>
      </c>
      <c r="D103" s="3">
        <v>4</v>
      </c>
      <c r="E103" s="3" t="s">
        <v>1183</v>
      </c>
    </row>
    <row r="104" spans="1:5" x14ac:dyDescent="0.3">
      <c r="A104" s="3">
        <v>10</v>
      </c>
      <c r="B104" s="3" t="s">
        <v>442</v>
      </c>
      <c r="C104" s="3">
        <v>2</v>
      </c>
      <c r="D104" s="3">
        <v>2</v>
      </c>
      <c r="E104" s="3" t="s">
        <v>1183</v>
      </c>
    </row>
    <row r="105" spans="1:5" x14ac:dyDescent="0.3">
      <c r="A105" s="3">
        <v>11</v>
      </c>
      <c r="B105" s="3" t="s">
        <v>608</v>
      </c>
      <c r="C105" s="3">
        <v>3</v>
      </c>
      <c r="D105" s="3">
        <v>3</v>
      </c>
      <c r="E105" s="3" t="s">
        <v>1183</v>
      </c>
    </row>
    <row r="106" spans="1:5" x14ac:dyDescent="0.3">
      <c r="A106" s="3">
        <v>11</v>
      </c>
      <c r="B106" s="3" t="s">
        <v>626</v>
      </c>
      <c r="C106" s="3">
        <v>3</v>
      </c>
      <c r="D106" s="3">
        <v>4</v>
      </c>
      <c r="E106" s="3" t="s">
        <v>1184</v>
      </c>
    </row>
    <row r="107" spans="1:5" x14ac:dyDescent="0.3">
      <c r="A107" s="3">
        <v>11</v>
      </c>
      <c r="B107" s="3" t="s">
        <v>505</v>
      </c>
      <c r="C107" s="3">
        <v>2</v>
      </c>
      <c r="D107" s="3">
        <v>1</v>
      </c>
      <c r="E107" s="3" t="s">
        <v>1184</v>
      </c>
    </row>
    <row r="108" spans="1:5" x14ac:dyDescent="0.3">
      <c r="A108" s="3">
        <v>11</v>
      </c>
      <c r="B108" s="3" t="s">
        <v>662</v>
      </c>
      <c r="C108" s="3">
        <v>1</v>
      </c>
      <c r="D108" s="3">
        <v>2</v>
      </c>
      <c r="E108" s="3" t="s">
        <v>1184</v>
      </c>
    </row>
    <row r="109" spans="1:5" x14ac:dyDescent="0.3">
      <c r="A109" s="3">
        <v>11</v>
      </c>
      <c r="B109" s="3" t="s">
        <v>730</v>
      </c>
      <c r="C109" s="3">
        <v>2</v>
      </c>
      <c r="D109" s="3">
        <v>2</v>
      </c>
      <c r="E109" s="3" t="s">
        <v>1183</v>
      </c>
    </row>
    <row r="110" spans="1:5" x14ac:dyDescent="0.3">
      <c r="A110" s="3">
        <v>11</v>
      </c>
      <c r="B110" s="3" t="s">
        <v>577</v>
      </c>
      <c r="C110" s="3">
        <v>1</v>
      </c>
      <c r="D110" s="3">
        <v>4</v>
      </c>
      <c r="E110" s="3" t="s">
        <v>1184</v>
      </c>
    </row>
    <row r="111" spans="1:5" x14ac:dyDescent="0.3">
      <c r="A111" s="3">
        <v>11</v>
      </c>
      <c r="B111" s="3" t="s">
        <v>724</v>
      </c>
      <c r="C111" s="3">
        <v>2</v>
      </c>
      <c r="D111" s="3">
        <v>3</v>
      </c>
      <c r="E111" s="3" t="s">
        <v>1184</v>
      </c>
    </row>
    <row r="112" spans="1:5" x14ac:dyDescent="0.3">
      <c r="A112" s="3">
        <v>11</v>
      </c>
      <c r="B112" s="3" t="s">
        <v>632</v>
      </c>
      <c r="C112" s="3">
        <v>2</v>
      </c>
      <c r="D112" s="3">
        <v>3</v>
      </c>
      <c r="E112" s="3" t="s">
        <v>1184</v>
      </c>
    </row>
    <row r="113" spans="1:5" x14ac:dyDescent="0.3">
      <c r="A113" s="3">
        <v>11</v>
      </c>
      <c r="B113" s="3" t="s">
        <v>596</v>
      </c>
      <c r="C113" s="3">
        <v>4</v>
      </c>
      <c r="D113" s="3">
        <v>2</v>
      </c>
      <c r="E113" s="3" t="s">
        <v>1184</v>
      </c>
    </row>
    <row r="114" spans="1:5" x14ac:dyDescent="0.3">
      <c r="A114" s="3">
        <v>11</v>
      </c>
      <c r="B114" s="3" t="s">
        <v>583</v>
      </c>
      <c r="C114" s="3">
        <v>4</v>
      </c>
      <c r="D114" s="3">
        <v>3</v>
      </c>
      <c r="E114" s="3" t="s">
        <v>1184</v>
      </c>
    </row>
    <row r="115" spans="1:5" x14ac:dyDescent="0.3">
      <c r="A115" s="3">
        <v>12</v>
      </c>
      <c r="B115" s="3" t="s">
        <v>608</v>
      </c>
      <c r="C115" s="3">
        <v>3</v>
      </c>
      <c r="D115" s="3">
        <v>3</v>
      </c>
      <c r="E115" s="3" t="s">
        <v>1183</v>
      </c>
    </row>
    <row r="116" spans="1:5" x14ac:dyDescent="0.3">
      <c r="A116" s="3">
        <v>12</v>
      </c>
      <c r="B116" s="3" t="s">
        <v>666</v>
      </c>
      <c r="C116" s="3">
        <v>3</v>
      </c>
      <c r="D116" s="3">
        <v>4</v>
      </c>
      <c r="E116" s="3" t="s">
        <v>1184</v>
      </c>
    </row>
    <row r="117" spans="1:5" x14ac:dyDescent="0.3">
      <c r="A117" s="3">
        <v>12</v>
      </c>
      <c r="B117" s="3" t="s">
        <v>553</v>
      </c>
      <c r="C117" s="3">
        <v>2</v>
      </c>
      <c r="D117" s="3">
        <v>1</v>
      </c>
      <c r="E117" s="3" t="s">
        <v>1184</v>
      </c>
    </row>
    <row r="118" spans="1:5" x14ac:dyDescent="0.3">
      <c r="A118" s="3">
        <v>12</v>
      </c>
      <c r="B118" s="3" t="s">
        <v>730</v>
      </c>
      <c r="C118" s="3">
        <v>2</v>
      </c>
      <c r="D118" s="3">
        <v>2</v>
      </c>
      <c r="E118" s="3" t="s">
        <v>1183</v>
      </c>
    </row>
    <row r="119" spans="1:5" x14ac:dyDescent="0.3">
      <c r="A119" s="3">
        <v>12</v>
      </c>
      <c r="B119" s="3" t="s">
        <v>588</v>
      </c>
      <c r="C119" s="3">
        <v>3</v>
      </c>
      <c r="D119" s="3">
        <v>3</v>
      </c>
      <c r="E119" s="3" t="s">
        <v>1183</v>
      </c>
    </row>
    <row r="120" spans="1:5" x14ac:dyDescent="0.3">
      <c r="A120" s="3">
        <v>12</v>
      </c>
      <c r="B120" s="3" t="s">
        <v>590</v>
      </c>
      <c r="C120" s="3">
        <v>4</v>
      </c>
      <c r="D120" s="3">
        <v>4</v>
      </c>
      <c r="E120" s="3" t="s">
        <v>1183</v>
      </c>
    </row>
    <row r="121" spans="1:5" x14ac:dyDescent="0.3">
      <c r="A121" s="3">
        <v>12</v>
      </c>
      <c r="B121" s="3" t="s">
        <v>511</v>
      </c>
      <c r="C121" s="3">
        <v>4</v>
      </c>
      <c r="D121" s="3">
        <v>2</v>
      </c>
      <c r="E121" s="3" t="s">
        <v>1184</v>
      </c>
    </row>
    <row r="122" spans="1:5" x14ac:dyDescent="0.3">
      <c r="A122" s="3">
        <v>12</v>
      </c>
      <c r="B122" s="3" t="s">
        <v>614</v>
      </c>
      <c r="C122" s="3">
        <v>4</v>
      </c>
      <c r="D122" s="3">
        <v>3</v>
      </c>
      <c r="E122" s="3" t="s">
        <v>1184</v>
      </c>
    </row>
    <row r="123" spans="1:5" x14ac:dyDescent="0.3">
      <c r="A123" s="3">
        <v>12</v>
      </c>
      <c r="B123" s="3" t="s">
        <v>547</v>
      </c>
      <c r="C123" s="3">
        <v>1</v>
      </c>
      <c r="D123" s="3">
        <v>2</v>
      </c>
      <c r="E123" s="3" t="s">
        <v>1184</v>
      </c>
    </row>
    <row r="124" spans="1:5" x14ac:dyDescent="0.3">
      <c r="A124" s="3">
        <v>12</v>
      </c>
      <c r="B124" s="3" t="s">
        <v>602</v>
      </c>
      <c r="C124" s="3">
        <v>3</v>
      </c>
      <c r="D124" s="3">
        <v>2</v>
      </c>
      <c r="E124" s="3" t="s">
        <v>1184</v>
      </c>
    </row>
    <row r="125" spans="1:5" x14ac:dyDescent="0.3">
      <c r="A125" s="3">
        <v>13</v>
      </c>
      <c r="B125" s="3" t="s">
        <v>734</v>
      </c>
      <c r="C125" s="3">
        <v>3</v>
      </c>
      <c r="D125" s="3">
        <v>3</v>
      </c>
      <c r="E125" s="3" t="s">
        <v>1183</v>
      </c>
    </row>
    <row r="126" spans="1:5" x14ac:dyDescent="0.3">
      <c r="A126" s="3">
        <v>13</v>
      </c>
      <c r="B126" s="3" t="s">
        <v>871</v>
      </c>
      <c r="C126" s="3">
        <v>1</v>
      </c>
      <c r="D126" s="3">
        <v>1</v>
      </c>
      <c r="E126" s="3" t="s">
        <v>1183</v>
      </c>
    </row>
    <row r="127" spans="1:5" x14ac:dyDescent="0.3">
      <c r="A127" s="3">
        <v>13</v>
      </c>
      <c r="B127" s="3" t="s">
        <v>810</v>
      </c>
      <c r="C127" s="3">
        <v>3</v>
      </c>
      <c r="D127" s="3">
        <v>4</v>
      </c>
      <c r="E127" s="3" t="s">
        <v>1184</v>
      </c>
    </row>
    <row r="128" spans="1:5" x14ac:dyDescent="0.3">
      <c r="A128" s="3">
        <v>13</v>
      </c>
      <c r="B128" s="3" t="s">
        <v>907</v>
      </c>
      <c r="C128" s="3">
        <v>2</v>
      </c>
      <c r="D128" s="3">
        <v>4</v>
      </c>
      <c r="E128" s="3" t="s">
        <v>1184</v>
      </c>
    </row>
    <row r="129" spans="1:5" x14ac:dyDescent="0.3">
      <c r="A129" s="3">
        <v>13</v>
      </c>
      <c r="B129" s="3" t="s">
        <v>822</v>
      </c>
      <c r="C129" s="3">
        <v>2</v>
      </c>
      <c r="D129" s="3">
        <v>3</v>
      </c>
      <c r="E129" s="3" t="s">
        <v>1184</v>
      </c>
    </row>
    <row r="130" spans="1:5" x14ac:dyDescent="0.3">
      <c r="A130" s="3">
        <v>13</v>
      </c>
      <c r="B130" s="3" t="s">
        <v>941</v>
      </c>
      <c r="C130" s="3">
        <v>4</v>
      </c>
      <c r="D130" s="3">
        <v>4</v>
      </c>
      <c r="E130" s="3" t="s">
        <v>1183</v>
      </c>
    </row>
    <row r="131" spans="1:5" x14ac:dyDescent="0.3">
      <c r="A131" s="3">
        <v>13</v>
      </c>
      <c r="B131" s="3" t="s">
        <v>883</v>
      </c>
      <c r="C131" s="3">
        <v>1</v>
      </c>
      <c r="D131" s="3">
        <v>1</v>
      </c>
      <c r="E131" s="3" t="s">
        <v>1183</v>
      </c>
    </row>
    <row r="132" spans="1:5" x14ac:dyDescent="0.3">
      <c r="A132" s="3">
        <v>13</v>
      </c>
      <c r="B132" s="3" t="s">
        <v>758</v>
      </c>
      <c r="C132" s="3">
        <v>1</v>
      </c>
      <c r="D132" s="3">
        <v>3</v>
      </c>
      <c r="E132" s="3" t="s">
        <v>1184</v>
      </c>
    </row>
    <row r="133" spans="1:5" x14ac:dyDescent="0.3">
      <c r="A133" s="3">
        <v>13</v>
      </c>
      <c r="B133" s="3" t="s">
        <v>782</v>
      </c>
      <c r="C133" s="3">
        <v>4</v>
      </c>
      <c r="D133" s="3">
        <v>4</v>
      </c>
      <c r="E133" s="3" t="s">
        <v>1183</v>
      </c>
    </row>
    <row r="134" spans="1:5" x14ac:dyDescent="0.3">
      <c r="A134" s="3">
        <v>13</v>
      </c>
      <c r="B134" s="3" t="s">
        <v>895</v>
      </c>
      <c r="C134" s="3">
        <v>3</v>
      </c>
      <c r="D134" s="3">
        <v>3</v>
      </c>
      <c r="E134" s="3" t="s">
        <v>1183</v>
      </c>
    </row>
    <row r="135" spans="1:5" x14ac:dyDescent="0.3">
      <c r="A135" s="3">
        <v>14</v>
      </c>
      <c r="B135" s="3" t="s">
        <v>274</v>
      </c>
      <c r="C135" s="3">
        <v>2</v>
      </c>
      <c r="D135" s="3">
        <v>2</v>
      </c>
      <c r="E135" s="3" t="s">
        <v>1183</v>
      </c>
    </row>
    <row r="136" spans="1:5" x14ac:dyDescent="0.3">
      <c r="A136" s="3">
        <v>14</v>
      </c>
      <c r="B136" s="3" t="s">
        <v>474</v>
      </c>
      <c r="C136" s="3">
        <v>1</v>
      </c>
      <c r="D136" s="3">
        <v>1</v>
      </c>
      <c r="E136" s="3" t="s">
        <v>1183</v>
      </c>
    </row>
    <row r="137" spans="1:5" x14ac:dyDescent="0.3">
      <c r="A137" s="3">
        <v>14</v>
      </c>
      <c r="B137" s="3" t="s">
        <v>406</v>
      </c>
      <c r="C137" s="3">
        <v>4</v>
      </c>
      <c r="D137" s="3">
        <v>4</v>
      </c>
      <c r="E137" s="3" t="s">
        <v>1183</v>
      </c>
    </row>
    <row r="138" spans="1:5" x14ac:dyDescent="0.3">
      <c r="A138" s="3">
        <v>14</v>
      </c>
      <c r="B138" s="3" t="s">
        <v>394</v>
      </c>
      <c r="C138" s="3">
        <v>1</v>
      </c>
      <c r="D138" s="3">
        <v>1</v>
      </c>
      <c r="E138" s="3" t="s">
        <v>1183</v>
      </c>
    </row>
    <row r="139" spans="1:5" x14ac:dyDescent="0.3">
      <c r="A139" s="3">
        <v>14</v>
      </c>
      <c r="B139" s="3" t="s">
        <v>499</v>
      </c>
      <c r="C139" s="3">
        <v>1</v>
      </c>
      <c r="D139" s="3">
        <v>1</v>
      </c>
      <c r="E139" s="3" t="s">
        <v>1183</v>
      </c>
    </row>
    <row r="140" spans="1:5" x14ac:dyDescent="0.3">
      <c r="A140" s="3">
        <v>14</v>
      </c>
      <c r="B140" s="3" t="s">
        <v>480</v>
      </c>
      <c r="C140" s="3">
        <v>2</v>
      </c>
      <c r="D140" s="3">
        <v>2</v>
      </c>
      <c r="E140" s="3" t="s">
        <v>1183</v>
      </c>
    </row>
    <row r="141" spans="1:5" x14ac:dyDescent="0.3">
      <c r="A141" s="3">
        <v>14</v>
      </c>
      <c r="B141" s="3" t="s">
        <v>340</v>
      </c>
      <c r="C141" s="3">
        <v>3</v>
      </c>
      <c r="D141" s="3">
        <v>3</v>
      </c>
      <c r="E141" s="3" t="s">
        <v>1183</v>
      </c>
    </row>
    <row r="142" spans="1:5" x14ac:dyDescent="0.3">
      <c r="A142" s="3">
        <v>14</v>
      </c>
      <c r="B142" s="3" t="s">
        <v>364</v>
      </c>
      <c r="C142" s="3">
        <v>4</v>
      </c>
      <c r="D142" s="3">
        <v>4</v>
      </c>
      <c r="E142" s="3" t="s">
        <v>1183</v>
      </c>
    </row>
    <row r="143" spans="1:5" x14ac:dyDescent="0.3">
      <c r="A143" s="3">
        <v>14</v>
      </c>
      <c r="B143" s="3" t="s">
        <v>286</v>
      </c>
      <c r="C143" s="3">
        <v>2</v>
      </c>
      <c r="D143" s="3">
        <v>2</v>
      </c>
      <c r="E143" s="3" t="s">
        <v>1183</v>
      </c>
    </row>
    <row r="144" spans="1:5" x14ac:dyDescent="0.3">
      <c r="A144" s="3">
        <v>14</v>
      </c>
      <c r="B144" s="3" t="s">
        <v>483</v>
      </c>
      <c r="C144" s="3">
        <v>3</v>
      </c>
      <c r="D144" s="3">
        <v>3</v>
      </c>
      <c r="E144" s="3" t="s">
        <v>1183</v>
      </c>
    </row>
    <row r="145" spans="1:5" x14ac:dyDescent="0.3">
      <c r="A145" s="3">
        <v>15</v>
      </c>
      <c r="B145" s="3" t="s">
        <v>322</v>
      </c>
      <c r="C145" s="3">
        <v>3</v>
      </c>
      <c r="D145" s="3">
        <v>1</v>
      </c>
      <c r="E145" s="3" t="s">
        <v>1184</v>
      </c>
    </row>
    <row r="146" spans="1:5" x14ac:dyDescent="0.3">
      <c r="A146" s="3">
        <v>15</v>
      </c>
      <c r="B146" s="3" t="s">
        <v>310</v>
      </c>
      <c r="C146" s="3">
        <v>2</v>
      </c>
      <c r="D146" s="3">
        <v>2</v>
      </c>
      <c r="E146" s="3" t="s">
        <v>1183</v>
      </c>
    </row>
    <row r="147" spans="1:5" x14ac:dyDescent="0.3">
      <c r="A147" s="3">
        <v>15</v>
      </c>
      <c r="B147" s="3" t="s">
        <v>483</v>
      </c>
      <c r="C147" s="3">
        <v>1</v>
      </c>
      <c r="D147" s="3">
        <v>3</v>
      </c>
      <c r="E147" s="3" t="s">
        <v>1184</v>
      </c>
    </row>
    <row r="148" spans="1:5" x14ac:dyDescent="0.3">
      <c r="A148" s="3">
        <v>15</v>
      </c>
      <c r="B148" s="3" t="s">
        <v>328</v>
      </c>
      <c r="C148" s="3">
        <v>1</v>
      </c>
      <c r="D148" s="3">
        <v>3</v>
      </c>
      <c r="E148" s="3" t="s">
        <v>1184</v>
      </c>
    </row>
    <row r="149" spans="1:5" x14ac:dyDescent="0.3">
      <c r="A149" s="3">
        <v>15</v>
      </c>
      <c r="B149" s="3" t="s">
        <v>352</v>
      </c>
      <c r="C149" s="3">
        <v>4</v>
      </c>
      <c r="D149" s="3">
        <v>1</v>
      </c>
      <c r="E149" s="3" t="s">
        <v>1184</v>
      </c>
    </row>
    <row r="150" spans="1:5" x14ac:dyDescent="0.3">
      <c r="A150" s="3">
        <v>15</v>
      </c>
      <c r="B150" s="3" t="s">
        <v>430</v>
      </c>
      <c r="C150" s="3">
        <v>2</v>
      </c>
      <c r="D150" s="3">
        <v>1</v>
      </c>
      <c r="E150" s="3" t="s">
        <v>1184</v>
      </c>
    </row>
    <row r="151" spans="1:5" x14ac:dyDescent="0.3">
      <c r="A151" s="3">
        <v>15</v>
      </c>
      <c r="B151" s="3" t="s">
        <v>292</v>
      </c>
      <c r="C151" s="3">
        <v>1</v>
      </c>
      <c r="D151" s="3">
        <v>2</v>
      </c>
      <c r="E151" s="3" t="s">
        <v>1184</v>
      </c>
    </row>
    <row r="152" spans="1:5" x14ac:dyDescent="0.3">
      <c r="A152" s="3">
        <v>15</v>
      </c>
      <c r="B152" s="3" t="s">
        <v>364</v>
      </c>
      <c r="C152" s="3">
        <v>3</v>
      </c>
      <c r="D152" s="3">
        <v>4</v>
      </c>
      <c r="E152" s="3" t="s">
        <v>1184</v>
      </c>
    </row>
    <row r="153" spans="1:5" x14ac:dyDescent="0.3">
      <c r="A153" s="3">
        <v>15</v>
      </c>
      <c r="B153" s="3" t="s">
        <v>412</v>
      </c>
      <c r="C153" s="3">
        <v>2</v>
      </c>
      <c r="D153" s="3">
        <v>4</v>
      </c>
      <c r="E153" s="3" t="s">
        <v>1184</v>
      </c>
    </row>
    <row r="154" spans="1:5" x14ac:dyDescent="0.3">
      <c r="A154" s="3">
        <v>15</v>
      </c>
      <c r="B154" s="3" t="s">
        <v>487</v>
      </c>
      <c r="C154" s="3">
        <v>1</v>
      </c>
      <c r="D154" s="3">
        <v>4</v>
      </c>
      <c r="E154" s="3" t="s">
        <v>1184</v>
      </c>
    </row>
    <row r="155" spans="1:5" x14ac:dyDescent="0.3">
      <c r="A155" s="3">
        <v>16</v>
      </c>
      <c r="B155" s="3" t="s">
        <v>376</v>
      </c>
      <c r="C155" s="3">
        <v>3</v>
      </c>
      <c r="D155" s="3">
        <v>3</v>
      </c>
      <c r="E155" s="3" t="s">
        <v>1183</v>
      </c>
    </row>
    <row r="156" spans="1:5" x14ac:dyDescent="0.3">
      <c r="A156" s="3">
        <v>16</v>
      </c>
      <c r="B156" s="3" t="s">
        <v>388</v>
      </c>
      <c r="C156" s="3">
        <v>2</v>
      </c>
      <c r="D156" s="3">
        <v>2</v>
      </c>
      <c r="E156" s="3" t="s">
        <v>1183</v>
      </c>
    </row>
    <row r="157" spans="1:5" x14ac:dyDescent="0.3">
      <c r="A157" s="3">
        <v>16</v>
      </c>
      <c r="B157" s="3" t="s">
        <v>310</v>
      </c>
      <c r="C157" s="3">
        <v>2</v>
      </c>
      <c r="D157" s="3">
        <v>2</v>
      </c>
      <c r="E157" s="3" t="s">
        <v>1183</v>
      </c>
    </row>
    <row r="158" spans="1:5" x14ac:dyDescent="0.3">
      <c r="A158" s="3">
        <v>16</v>
      </c>
      <c r="B158" s="3" t="s">
        <v>430</v>
      </c>
      <c r="C158" s="3">
        <v>2</v>
      </c>
      <c r="D158" s="3">
        <v>1</v>
      </c>
      <c r="E158" s="3" t="s">
        <v>1184</v>
      </c>
    </row>
    <row r="159" spans="1:5" x14ac:dyDescent="0.3">
      <c r="A159" s="3">
        <v>16</v>
      </c>
      <c r="B159" s="3" t="s">
        <v>451</v>
      </c>
      <c r="C159" s="3">
        <v>1</v>
      </c>
      <c r="D159" s="3">
        <v>1</v>
      </c>
      <c r="E159" s="3" t="s">
        <v>1183</v>
      </c>
    </row>
    <row r="160" spans="1:5" x14ac:dyDescent="0.3">
      <c r="A160" s="3">
        <v>16</v>
      </c>
      <c r="B160" s="3" t="s">
        <v>334</v>
      </c>
      <c r="C160" s="3">
        <v>2</v>
      </c>
      <c r="D160" s="3">
        <v>2</v>
      </c>
      <c r="E160" s="3" t="s">
        <v>1183</v>
      </c>
    </row>
    <row r="161" spans="1:5" x14ac:dyDescent="0.3">
      <c r="A161" s="3">
        <v>16</v>
      </c>
      <c r="B161" s="3" t="s">
        <v>286</v>
      </c>
      <c r="C161" s="3">
        <v>3</v>
      </c>
      <c r="D161" s="3">
        <v>2</v>
      </c>
      <c r="E161" s="3" t="s">
        <v>1184</v>
      </c>
    </row>
    <row r="162" spans="1:5" x14ac:dyDescent="0.3">
      <c r="A162" s="3">
        <v>16</v>
      </c>
      <c r="B162" s="3" t="s">
        <v>328</v>
      </c>
      <c r="C162" s="3">
        <v>3</v>
      </c>
      <c r="D162" s="3">
        <v>3</v>
      </c>
      <c r="E162" s="3" t="s">
        <v>1183</v>
      </c>
    </row>
    <row r="163" spans="1:5" x14ac:dyDescent="0.3">
      <c r="A163" s="3">
        <v>16</v>
      </c>
      <c r="B163" s="3" t="s">
        <v>292</v>
      </c>
      <c r="C163" s="3">
        <v>2</v>
      </c>
      <c r="D163" s="3">
        <v>2</v>
      </c>
      <c r="E163" s="3" t="s">
        <v>1183</v>
      </c>
    </row>
    <row r="164" spans="1:5" x14ac:dyDescent="0.3">
      <c r="A164" s="3">
        <v>16</v>
      </c>
      <c r="B164" s="3" t="s">
        <v>418</v>
      </c>
      <c r="C164" s="3">
        <v>4</v>
      </c>
      <c r="D164" s="3">
        <v>4</v>
      </c>
      <c r="E164" s="3" t="s">
        <v>1183</v>
      </c>
    </row>
    <row r="165" spans="1:5" x14ac:dyDescent="0.3">
      <c r="A165" s="3">
        <v>17</v>
      </c>
      <c r="B165" s="3" t="s">
        <v>322</v>
      </c>
      <c r="C165" s="3">
        <v>3</v>
      </c>
      <c r="D165" s="3">
        <v>1</v>
      </c>
      <c r="E165" s="3" t="s">
        <v>1184</v>
      </c>
    </row>
    <row r="166" spans="1:5" x14ac:dyDescent="0.3">
      <c r="A166" s="3">
        <v>17</v>
      </c>
      <c r="B166" s="3" t="s">
        <v>310</v>
      </c>
      <c r="C166" s="3">
        <v>1</v>
      </c>
      <c r="D166" s="3">
        <v>2</v>
      </c>
      <c r="E166" s="3" t="s">
        <v>1184</v>
      </c>
    </row>
    <row r="167" spans="1:5" x14ac:dyDescent="0.3">
      <c r="A167" s="3">
        <v>17</v>
      </c>
      <c r="B167" s="3" t="s">
        <v>483</v>
      </c>
      <c r="C167" s="3">
        <v>4</v>
      </c>
      <c r="D167" s="3">
        <v>3</v>
      </c>
      <c r="E167" s="3" t="s">
        <v>1184</v>
      </c>
    </row>
    <row r="168" spans="1:5" x14ac:dyDescent="0.3">
      <c r="A168" s="3">
        <v>17</v>
      </c>
      <c r="B168" s="3" t="s">
        <v>328</v>
      </c>
      <c r="C168" s="3">
        <v>3</v>
      </c>
      <c r="D168" s="3">
        <v>3</v>
      </c>
      <c r="E168" s="3" t="s">
        <v>1183</v>
      </c>
    </row>
    <row r="169" spans="1:5" x14ac:dyDescent="0.3">
      <c r="A169" s="3">
        <v>17</v>
      </c>
      <c r="B169" s="3" t="s">
        <v>352</v>
      </c>
      <c r="C169" s="3">
        <v>4</v>
      </c>
      <c r="D169" s="3">
        <v>1</v>
      </c>
      <c r="E169" s="3" t="s">
        <v>1184</v>
      </c>
    </row>
    <row r="170" spans="1:5" x14ac:dyDescent="0.3">
      <c r="A170" s="3">
        <v>17</v>
      </c>
      <c r="B170" s="3" t="s">
        <v>430</v>
      </c>
      <c r="C170" s="3">
        <v>4</v>
      </c>
      <c r="D170" s="3">
        <v>1</v>
      </c>
      <c r="E170" s="3" t="s">
        <v>1184</v>
      </c>
    </row>
    <row r="171" spans="1:5" x14ac:dyDescent="0.3">
      <c r="A171" s="3">
        <v>17</v>
      </c>
      <c r="B171" s="3" t="s">
        <v>292</v>
      </c>
      <c r="C171" s="3">
        <v>1</v>
      </c>
      <c r="D171" s="3">
        <v>2</v>
      </c>
      <c r="E171" s="3" t="s">
        <v>1184</v>
      </c>
    </row>
    <row r="172" spans="1:5" x14ac:dyDescent="0.3">
      <c r="A172" s="3">
        <v>17</v>
      </c>
      <c r="B172" s="3" t="s">
        <v>364</v>
      </c>
      <c r="C172" s="3">
        <v>2</v>
      </c>
      <c r="D172" s="3">
        <v>4</v>
      </c>
      <c r="E172" s="3" t="s">
        <v>1184</v>
      </c>
    </row>
    <row r="173" spans="1:5" x14ac:dyDescent="0.3">
      <c r="A173" s="3">
        <v>17</v>
      </c>
      <c r="B173" s="3" t="s">
        <v>412</v>
      </c>
      <c r="C173" s="3">
        <v>3</v>
      </c>
      <c r="D173" s="3">
        <v>4</v>
      </c>
      <c r="E173" s="3" t="s">
        <v>1184</v>
      </c>
    </row>
    <row r="174" spans="1:5" x14ac:dyDescent="0.3">
      <c r="A174" s="3">
        <v>17</v>
      </c>
      <c r="B174" s="3" t="s">
        <v>487</v>
      </c>
      <c r="C174" s="3">
        <v>1</v>
      </c>
      <c r="D174" s="3">
        <v>4</v>
      </c>
      <c r="E174" s="3" t="s">
        <v>1184</v>
      </c>
    </row>
    <row r="175" spans="1:5" x14ac:dyDescent="0.3">
      <c r="A175" s="3">
        <v>18</v>
      </c>
      <c r="B175" s="3" t="s">
        <v>505</v>
      </c>
      <c r="C175" s="3">
        <v>2</v>
      </c>
      <c r="D175" s="3">
        <v>1</v>
      </c>
      <c r="E175" s="3" t="s">
        <v>1184</v>
      </c>
    </row>
    <row r="176" spans="1:5" x14ac:dyDescent="0.3">
      <c r="A176" s="3">
        <v>18</v>
      </c>
      <c r="B176" s="3" t="s">
        <v>565</v>
      </c>
      <c r="C176" s="3">
        <v>2</v>
      </c>
      <c r="D176" s="3">
        <v>3</v>
      </c>
      <c r="E176" s="3" t="s">
        <v>1184</v>
      </c>
    </row>
    <row r="177" spans="1:5" x14ac:dyDescent="0.3">
      <c r="A177" s="3">
        <v>18</v>
      </c>
      <c r="B177" s="3" t="s">
        <v>511</v>
      </c>
      <c r="C177" s="3">
        <v>2</v>
      </c>
      <c r="D177" s="3">
        <v>2</v>
      </c>
      <c r="E177" s="3" t="s">
        <v>1183</v>
      </c>
    </row>
    <row r="178" spans="1:5" x14ac:dyDescent="0.3">
      <c r="A178" s="3">
        <v>18</v>
      </c>
      <c r="B178" s="3" t="s">
        <v>626</v>
      </c>
      <c r="C178" s="3">
        <v>4</v>
      </c>
      <c r="D178" s="3">
        <v>4</v>
      </c>
      <c r="E178" s="3" t="s">
        <v>1183</v>
      </c>
    </row>
    <row r="179" spans="1:5" x14ac:dyDescent="0.3">
      <c r="A179" s="3">
        <v>18</v>
      </c>
      <c r="B179" s="3" t="s">
        <v>724</v>
      </c>
      <c r="C179" s="3">
        <v>1</v>
      </c>
      <c r="D179" s="3">
        <v>3</v>
      </c>
      <c r="E179" s="3" t="s">
        <v>1184</v>
      </c>
    </row>
    <row r="180" spans="1:5" x14ac:dyDescent="0.3">
      <c r="A180" s="3">
        <v>18</v>
      </c>
      <c r="B180" s="3" t="s">
        <v>688</v>
      </c>
      <c r="C180" s="3">
        <v>4</v>
      </c>
      <c r="D180" s="3">
        <v>2</v>
      </c>
      <c r="E180" s="3" t="s">
        <v>1184</v>
      </c>
    </row>
    <row r="181" spans="1:5" x14ac:dyDescent="0.3">
      <c r="A181" s="3">
        <v>18</v>
      </c>
      <c r="B181" s="3" t="s">
        <v>517</v>
      </c>
      <c r="C181" s="3">
        <v>1</v>
      </c>
      <c r="D181" s="3">
        <v>1</v>
      </c>
      <c r="E181" s="3" t="s">
        <v>1183</v>
      </c>
    </row>
    <row r="182" spans="1:5" x14ac:dyDescent="0.3">
      <c r="A182" s="3">
        <v>18</v>
      </c>
      <c r="B182" s="3" t="s">
        <v>730</v>
      </c>
      <c r="C182" s="3">
        <v>2</v>
      </c>
      <c r="D182" s="3">
        <v>2</v>
      </c>
      <c r="E182" s="3" t="s">
        <v>1183</v>
      </c>
    </row>
    <row r="183" spans="1:5" x14ac:dyDescent="0.3">
      <c r="A183" s="3">
        <v>18</v>
      </c>
      <c r="B183" s="3" t="s">
        <v>523</v>
      </c>
      <c r="C183" s="3">
        <v>1</v>
      </c>
      <c r="D183" s="3">
        <v>4</v>
      </c>
      <c r="E183" s="3" t="s">
        <v>1184</v>
      </c>
    </row>
    <row r="184" spans="1:5" x14ac:dyDescent="0.3">
      <c r="A184" s="3">
        <v>18</v>
      </c>
      <c r="B184" s="3" t="s">
        <v>608</v>
      </c>
      <c r="C184" s="3">
        <v>2</v>
      </c>
      <c r="D184" s="3">
        <v>3</v>
      </c>
      <c r="E184" s="3" t="s">
        <v>1184</v>
      </c>
    </row>
    <row r="185" spans="1:5" x14ac:dyDescent="0.3">
      <c r="A185" s="3">
        <v>19</v>
      </c>
      <c r="B185" s="3" t="s">
        <v>553</v>
      </c>
      <c r="C185" s="3">
        <v>1</v>
      </c>
      <c r="D185" s="3">
        <v>1</v>
      </c>
      <c r="E185" s="3" t="s">
        <v>1183</v>
      </c>
    </row>
    <row r="186" spans="1:5" x14ac:dyDescent="0.3">
      <c r="A186" s="3">
        <v>19</v>
      </c>
      <c r="B186" s="3" t="s">
        <v>632</v>
      </c>
      <c r="C186" s="3">
        <v>3</v>
      </c>
      <c r="D186" s="3">
        <v>3</v>
      </c>
      <c r="E186" s="3" t="s">
        <v>1183</v>
      </c>
    </row>
    <row r="187" spans="1:5" x14ac:dyDescent="0.3">
      <c r="A187" s="3">
        <v>19</v>
      </c>
      <c r="B187" s="3" t="s">
        <v>620</v>
      </c>
      <c r="C187" s="3">
        <v>3</v>
      </c>
      <c r="D187" s="3">
        <v>4</v>
      </c>
      <c r="E187" s="3" t="s">
        <v>1184</v>
      </c>
    </row>
    <row r="188" spans="1:5" x14ac:dyDescent="0.3">
      <c r="A188" s="3">
        <v>19</v>
      </c>
      <c r="B188" s="3" t="s">
        <v>614</v>
      </c>
      <c r="C188" s="3">
        <v>3</v>
      </c>
      <c r="D188" s="3">
        <v>3</v>
      </c>
      <c r="E188" s="3" t="s">
        <v>1183</v>
      </c>
    </row>
    <row r="189" spans="1:5" x14ac:dyDescent="0.3">
      <c r="A189" s="3">
        <v>19</v>
      </c>
      <c r="B189" s="3" t="s">
        <v>583</v>
      </c>
      <c r="C189" s="3">
        <v>3</v>
      </c>
      <c r="D189" s="3">
        <v>3</v>
      </c>
      <c r="E189" s="3" t="s">
        <v>1183</v>
      </c>
    </row>
    <row r="190" spans="1:5" x14ac:dyDescent="0.3">
      <c r="A190" s="3">
        <v>19</v>
      </c>
      <c r="B190" s="3" t="s">
        <v>694</v>
      </c>
      <c r="C190" s="3">
        <v>2</v>
      </c>
      <c r="D190" s="3">
        <v>1</v>
      </c>
      <c r="E190" s="3" t="s">
        <v>1184</v>
      </c>
    </row>
    <row r="191" spans="1:5" x14ac:dyDescent="0.3">
      <c r="A191" s="3">
        <v>19</v>
      </c>
      <c r="B191" s="3" t="s">
        <v>730</v>
      </c>
      <c r="C191" s="3">
        <v>2</v>
      </c>
      <c r="D191" s="3">
        <v>2</v>
      </c>
      <c r="E191" s="3" t="s">
        <v>1183</v>
      </c>
    </row>
    <row r="192" spans="1:5" x14ac:dyDescent="0.3">
      <c r="A192" s="3">
        <v>19</v>
      </c>
      <c r="B192" s="3" t="s">
        <v>505</v>
      </c>
      <c r="C192" s="3">
        <v>1</v>
      </c>
      <c r="D192" s="3">
        <v>1</v>
      </c>
      <c r="E192" s="3" t="s">
        <v>1183</v>
      </c>
    </row>
    <row r="193" spans="1:5" x14ac:dyDescent="0.3">
      <c r="A193" s="3">
        <v>19</v>
      </c>
      <c r="B193" s="3" t="s">
        <v>511</v>
      </c>
      <c r="C193" s="3">
        <v>2</v>
      </c>
      <c r="D193" s="3">
        <v>2</v>
      </c>
      <c r="E193" s="3" t="s">
        <v>1183</v>
      </c>
    </row>
    <row r="194" spans="1:5" x14ac:dyDescent="0.3">
      <c r="A194" s="3">
        <v>19</v>
      </c>
      <c r="B194" s="3" t="s">
        <v>559</v>
      </c>
      <c r="C194" s="3">
        <v>4</v>
      </c>
      <c r="D194" s="3">
        <v>4</v>
      </c>
      <c r="E194" s="3" t="s">
        <v>1183</v>
      </c>
    </row>
    <row r="195" spans="1:5" x14ac:dyDescent="0.3">
      <c r="A195" s="3">
        <v>20</v>
      </c>
      <c r="B195" s="3" t="s">
        <v>559</v>
      </c>
      <c r="C195" s="3">
        <v>3</v>
      </c>
      <c r="D195" s="3">
        <v>4</v>
      </c>
      <c r="E195" s="3" t="s">
        <v>1184</v>
      </c>
    </row>
    <row r="196" spans="1:5" x14ac:dyDescent="0.3">
      <c r="A196" s="3">
        <v>20</v>
      </c>
      <c r="B196" s="3" t="s">
        <v>511</v>
      </c>
      <c r="C196" s="3">
        <v>1</v>
      </c>
      <c r="D196" s="3">
        <v>2</v>
      </c>
      <c r="E196" s="3" t="s">
        <v>1184</v>
      </c>
    </row>
    <row r="197" spans="1:5" x14ac:dyDescent="0.3">
      <c r="A197" s="3">
        <v>20</v>
      </c>
      <c r="B197" s="3" t="s">
        <v>505</v>
      </c>
      <c r="C197" s="3">
        <v>2</v>
      </c>
      <c r="D197" s="3">
        <v>1</v>
      </c>
      <c r="E197" s="3" t="s">
        <v>1184</v>
      </c>
    </row>
    <row r="198" spans="1:5" x14ac:dyDescent="0.3">
      <c r="A198" s="3">
        <v>20</v>
      </c>
      <c r="B198" s="3" t="s">
        <v>724</v>
      </c>
      <c r="C198" s="3">
        <v>4</v>
      </c>
      <c r="D198" s="3">
        <v>3</v>
      </c>
      <c r="E198" s="3" t="s">
        <v>1184</v>
      </c>
    </row>
    <row r="199" spans="1:5" x14ac:dyDescent="0.3">
      <c r="A199" s="3">
        <v>20</v>
      </c>
      <c r="B199" s="3" t="s">
        <v>694</v>
      </c>
      <c r="C199" s="3">
        <v>4</v>
      </c>
      <c r="D199" s="3">
        <v>1</v>
      </c>
      <c r="E199" s="3" t="s">
        <v>1184</v>
      </c>
    </row>
    <row r="200" spans="1:5" x14ac:dyDescent="0.3">
      <c r="A200" s="3">
        <v>20</v>
      </c>
      <c r="B200" s="3" t="s">
        <v>583</v>
      </c>
      <c r="C200" s="3">
        <v>3</v>
      </c>
      <c r="D200" s="3">
        <v>3</v>
      </c>
      <c r="E200" s="3" t="s">
        <v>1183</v>
      </c>
    </row>
    <row r="201" spans="1:5" x14ac:dyDescent="0.3">
      <c r="A201" s="3">
        <v>20</v>
      </c>
      <c r="B201" s="3" t="s">
        <v>614</v>
      </c>
      <c r="C201" s="3">
        <v>3</v>
      </c>
      <c r="D201" s="3">
        <v>3</v>
      </c>
      <c r="E201" s="3" t="s">
        <v>1183</v>
      </c>
    </row>
    <row r="202" spans="1:5" x14ac:dyDescent="0.3">
      <c r="A202" s="3">
        <v>20</v>
      </c>
      <c r="B202" s="3" t="s">
        <v>688</v>
      </c>
      <c r="C202" s="3">
        <v>1</v>
      </c>
      <c r="D202" s="3">
        <v>2</v>
      </c>
      <c r="E202" s="3" t="s">
        <v>1184</v>
      </c>
    </row>
    <row r="203" spans="1:5" x14ac:dyDescent="0.3">
      <c r="A203" s="3">
        <v>20</v>
      </c>
      <c r="B203" s="3" t="s">
        <v>632</v>
      </c>
      <c r="C203" s="3">
        <v>3</v>
      </c>
      <c r="D203" s="3">
        <v>3</v>
      </c>
      <c r="E203" s="3" t="s">
        <v>1183</v>
      </c>
    </row>
    <row r="204" spans="1:5" x14ac:dyDescent="0.3">
      <c r="A204" s="3">
        <v>20</v>
      </c>
      <c r="B204" s="3" t="s">
        <v>565</v>
      </c>
      <c r="C204" s="3">
        <v>1</v>
      </c>
      <c r="D204" s="3">
        <v>3</v>
      </c>
      <c r="E204" s="3" t="s">
        <v>1184</v>
      </c>
    </row>
    <row r="205" spans="1:5" x14ac:dyDescent="0.3">
      <c r="A205" s="3">
        <v>21</v>
      </c>
      <c r="B205" s="3" t="s">
        <v>505</v>
      </c>
      <c r="C205" s="3">
        <v>1</v>
      </c>
      <c r="D205" s="3">
        <v>1</v>
      </c>
      <c r="E205" s="3" t="s">
        <v>1183</v>
      </c>
    </row>
    <row r="206" spans="1:5" x14ac:dyDescent="0.3">
      <c r="A206" s="3">
        <v>21</v>
      </c>
      <c r="B206" s="3" t="s">
        <v>511</v>
      </c>
      <c r="C206" s="3">
        <v>3</v>
      </c>
      <c r="D206" s="3">
        <v>2</v>
      </c>
      <c r="E206" s="3" t="s">
        <v>1184</v>
      </c>
    </row>
    <row r="207" spans="1:5" x14ac:dyDescent="0.3">
      <c r="A207" s="3">
        <v>21</v>
      </c>
      <c r="B207" s="3" t="s">
        <v>517</v>
      </c>
      <c r="C207" s="3">
        <v>1</v>
      </c>
      <c r="D207" s="3">
        <v>1</v>
      </c>
      <c r="E207" s="3" t="s">
        <v>1183</v>
      </c>
    </row>
    <row r="208" spans="1:5" x14ac:dyDescent="0.3">
      <c r="A208" s="3">
        <v>21</v>
      </c>
      <c r="B208" s="3" t="s">
        <v>523</v>
      </c>
      <c r="C208" s="3">
        <v>3</v>
      </c>
      <c r="D208" s="3">
        <v>4</v>
      </c>
      <c r="E208" s="3" t="s">
        <v>1184</v>
      </c>
    </row>
    <row r="209" spans="1:5" x14ac:dyDescent="0.3">
      <c r="A209" s="3">
        <v>21</v>
      </c>
      <c r="B209" s="3" t="s">
        <v>529</v>
      </c>
      <c r="C209" s="3">
        <v>1</v>
      </c>
      <c r="D209" s="3">
        <v>4</v>
      </c>
      <c r="E209" s="3" t="s">
        <v>1184</v>
      </c>
    </row>
    <row r="210" spans="1:5" x14ac:dyDescent="0.3">
      <c r="A210" s="3">
        <v>21</v>
      </c>
      <c r="B210" s="3" t="s">
        <v>535</v>
      </c>
      <c r="C210" s="3">
        <v>2</v>
      </c>
      <c r="D210" s="3">
        <v>4</v>
      </c>
      <c r="E210" s="3" t="s">
        <v>1184</v>
      </c>
    </row>
    <row r="211" spans="1:5" x14ac:dyDescent="0.3">
      <c r="A211" s="3">
        <v>21</v>
      </c>
      <c r="B211" s="3" t="s">
        <v>541</v>
      </c>
      <c r="C211" s="3">
        <v>1</v>
      </c>
      <c r="D211" s="3">
        <v>1</v>
      </c>
      <c r="E211" s="3" t="s">
        <v>1183</v>
      </c>
    </row>
    <row r="212" spans="1:5" x14ac:dyDescent="0.3">
      <c r="A212" s="3">
        <v>21</v>
      </c>
      <c r="B212" s="3" t="s">
        <v>547</v>
      </c>
      <c r="C212" s="3">
        <v>2</v>
      </c>
      <c r="D212" s="3">
        <v>2</v>
      </c>
      <c r="E212" s="3" t="s">
        <v>1183</v>
      </c>
    </row>
    <row r="213" spans="1:5" x14ac:dyDescent="0.3">
      <c r="A213" s="3">
        <v>21</v>
      </c>
      <c r="B213" s="3" t="s">
        <v>553</v>
      </c>
      <c r="C213" s="3">
        <v>1</v>
      </c>
      <c r="D213" s="3">
        <v>1</v>
      </c>
      <c r="E213" s="3" t="s">
        <v>1183</v>
      </c>
    </row>
    <row r="214" spans="1:5" x14ac:dyDescent="0.3">
      <c r="A214" s="3">
        <v>21</v>
      </c>
      <c r="B214" s="3" t="s">
        <v>559</v>
      </c>
      <c r="C214" s="3">
        <v>4</v>
      </c>
      <c r="D214" s="3">
        <v>4</v>
      </c>
      <c r="E214" s="3" t="s">
        <v>1183</v>
      </c>
    </row>
    <row r="215" spans="1:5" x14ac:dyDescent="0.3">
      <c r="A215" s="3">
        <v>22</v>
      </c>
      <c r="B215" s="3" t="s">
        <v>608</v>
      </c>
      <c r="C215" s="3">
        <v>3</v>
      </c>
      <c r="D215" s="3">
        <v>3</v>
      </c>
      <c r="E215" s="3" t="s">
        <v>1183</v>
      </c>
    </row>
    <row r="216" spans="1:5" x14ac:dyDescent="0.3">
      <c r="A216" s="3">
        <v>22</v>
      </c>
      <c r="B216" s="3" t="s">
        <v>614</v>
      </c>
      <c r="C216" s="3">
        <v>3</v>
      </c>
      <c r="D216" s="3">
        <v>3</v>
      </c>
      <c r="E216" s="3" t="s">
        <v>1183</v>
      </c>
    </row>
    <row r="217" spans="1:5" x14ac:dyDescent="0.3">
      <c r="A217" s="3">
        <v>22</v>
      </c>
      <c r="B217" s="3" t="s">
        <v>620</v>
      </c>
      <c r="C217" s="3">
        <v>4</v>
      </c>
      <c r="D217" s="3">
        <v>4</v>
      </c>
      <c r="E217" s="3" t="s">
        <v>1183</v>
      </c>
    </row>
    <row r="218" spans="1:5" x14ac:dyDescent="0.3">
      <c r="A218" s="3">
        <v>22</v>
      </c>
      <c r="B218" s="3" t="s">
        <v>626</v>
      </c>
      <c r="C218" s="3">
        <v>4</v>
      </c>
      <c r="D218" s="3">
        <v>4</v>
      </c>
      <c r="E218" s="3" t="s">
        <v>1183</v>
      </c>
    </row>
    <row r="219" spans="1:5" x14ac:dyDescent="0.3">
      <c r="A219" s="3">
        <v>22</v>
      </c>
      <c r="B219" s="3" t="s">
        <v>632</v>
      </c>
      <c r="C219" s="3">
        <v>3</v>
      </c>
      <c r="D219" s="3">
        <v>3</v>
      </c>
      <c r="E219" s="3" t="s">
        <v>1183</v>
      </c>
    </row>
    <row r="220" spans="1:5" x14ac:dyDescent="0.3">
      <c r="A220" s="3">
        <v>22</v>
      </c>
      <c r="B220" s="3" t="s">
        <v>638</v>
      </c>
      <c r="C220" s="3">
        <v>2</v>
      </c>
      <c r="D220" s="3">
        <v>1</v>
      </c>
      <c r="E220" s="3" t="s">
        <v>1184</v>
      </c>
    </row>
    <row r="221" spans="1:5" x14ac:dyDescent="0.3">
      <c r="A221" s="3">
        <v>22</v>
      </c>
      <c r="B221" s="3" t="s">
        <v>644</v>
      </c>
      <c r="C221" s="3">
        <v>3</v>
      </c>
      <c r="D221" s="3">
        <v>4</v>
      </c>
      <c r="E221" s="3" t="s">
        <v>1184</v>
      </c>
    </row>
    <row r="222" spans="1:5" x14ac:dyDescent="0.3">
      <c r="A222" s="3">
        <v>22</v>
      </c>
      <c r="B222" s="3" t="s">
        <v>541</v>
      </c>
      <c r="C222" s="3">
        <v>4</v>
      </c>
      <c r="D222" s="3">
        <v>1</v>
      </c>
      <c r="E222" s="3" t="s">
        <v>1184</v>
      </c>
    </row>
    <row r="223" spans="1:5" x14ac:dyDescent="0.3">
      <c r="A223" s="3">
        <v>22</v>
      </c>
      <c r="B223" s="3" t="s">
        <v>511</v>
      </c>
      <c r="C223" s="3">
        <v>1</v>
      </c>
      <c r="D223" s="3">
        <v>2</v>
      </c>
      <c r="E223" s="3" t="s">
        <v>1184</v>
      </c>
    </row>
    <row r="224" spans="1:5" x14ac:dyDescent="0.3">
      <c r="A224" s="3">
        <v>22</v>
      </c>
      <c r="B224" s="3" t="s">
        <v>672</v>
      </c>
      <c r="C224" s="3">
        <v>2</v>
      </c>
      <c r="D224" s="3">
        <v>4</v>
      </c>
      <c r="E224" s="3" t="s">
        <v>1184</v>
      </c>
    </row>
    <row r="225" spans="1:5" x14ac:dyDescent="0.3">
      <c r="A225" s="3">
        <v>23</v>
      </c>
      <c r="B225" s="3" t="s">
        <v>782</v>
      </c>
      <c r="C225" s="3">
        <v>4</v>
      </c>
      <c r="D225" s="3">
        <v>4</v>
      </c>
      <c r="E225" s="3" t="s">
        <v>1183</v>
      </c>
    </row>
    <row r="226" spans="1:5" x14ac:dyDescent="0.3">
      <c r="A226" s="3">
        <v>23</v>
      </c>
      <c r="B226" s="3" t="s">
        <v>776</v>
      </c>
      <c r="C226" s="3">
        <v>3</v>
      </c>
      <c r="D226" s="3">
        <v>3</v>
      </c>
      <c r="E226" s="3" t="s">
        <v>1183</v>
      </c>
    </row>
    <row r="227" spans="1:5" x14ac:dyDescent="0.3">
      <c r="A227" s="3">
        <v>23</v>
      </c>
      <c r="B227" s="3" t="s">
        <v>758</v>
      </c>
      <c r="C227" s="3">
        <v>3</v>
      </c>
      <c r="D227" s="3">
        <v>3</v>
      </c>
      <c r="E227" s="3" t="s">
        <v>1183</v>
      </c>
    </row>
    <row r="228" spans="1:5" x14ac:dyDescent="0.3">
      <c r="A228" s="3">
        <v>23</v>
      </c>
      <c r="B228" s="3" t="s">
        <v>740</v>
      </c>
      <c r="C228" s="3">
        <v>1</v>
      </c>
      <c r="D228" s="3">
        <v>4</v>
      </c>
      <c r="E228" s="3" t="s">
        <v>1184</v>
      </c>
    </row>
    <row r="229" spans="1:5" x14ac:dyDescent="0.3">
      <c r="A229" s="3">
        <v>23</v>
      </c>
      <c r="B229" s="3" t="s">
        <v>810</v>
      </c>
      <c r="C229" s="3">
        <v>4</v>
      </c>
      <c r="D229" s="3">
        <v>4</v>
      </c>
      <c r="E229" s="3" t="s">
        <v>1183</v>
      </c>
    </row>
    <row r="230" spans="1:5" x14ac:dyDescent="0.3">
      <c r="A230" s="3">
        <v>23</v>
      </c>
      <c r="B230" s="3" t="s">
        <v>834</v>
      </c>
      <c r="C230" s="3">
        <v>3</v>
      </c>
      <c r="D230" s="3">
        <v>1</v>
      </c>
      <c r="E230" s="3" t="s">
        <v>1184</v>
      </c>
    </row>
    <row r="231" spans="1:5" x14ac:dyDescent="0.3">
      <c r="A231" s="3">
        <v>23</v>
      </c>
      <c r="B231" s="3" t="s">
        <v>895</v>
      </c>
      <c r="C231" s="3">
        <v>3</v>
      </c>
      <c r="D231" s="3">
        <v>3</v>
      </c>
      <c r="E231" s="3" t="s">
        <v>1183</v>
      </c>
    </row>
    <row r="232" spans="1:5" x14ac:dyDescent="0.3">
      <c r="A232" s="3">
        <v>23</v>
      </c>
      <c r="B232" s="3" t="s">
        <v>860</v>
      </c>
      <c r="C232" s="3">
        <v>4</v>
      </c>
      <c r="D232" s="3">
        <v>4</v>
      </c>
      <c r="E232" s="3" t="s">
        <v>1183</v>
      </c>
    </row>
    <row r="233" spans="1:5" x14ac:dyDescent="0.3">
      <c r="A233" s="3">
        <v>23</v>
      </c>
      <c r="B233" s="3" t="s">
        <v>901</v>
      </c>
      <c r="C233" s="3">
        <v>4</v>
      </c>
      <c r="D233" s="3">
        <v>4</v>
      </c>
      <c r="E233" s="3" t="s">
        <v>1183</v>
      </c>
    </row>
    <row r="234" spans="1:5" x14ac:dyDescent="0.3">
      <c r="A234" s="3">
        <v>23</v>
      </c>
      <c r="B234" s="3" t="s">
        <v>925</v>
      </c>
      <c r="C234" s="3">
        <v>1</v>
      </c>
      <c r="D234" s="3">
        <v>1</v>
      </c>
      <c r="E234" s="3" t="s">
        <v>1183</v>
      </c>
    </row>
    <row r="235" spans="1:5" x14ac:dyDescent="0.3">
      <c r="A235" s="3">
        <v>24</v>
      </c>
      <c r="B235" s="3" t="s">
        <v>919</v>
      </c>
      <c r="C235" s="3">
        <v>1</v>
      </c>
      <c r="D235" s="3">
        <v>1</v>
      </c>
      <c r="E235" s="3" t="s">
        <v>1183</v>
      </c>
    </row>
    <row r="236" spans="1:5" x14ac:dyDescent="0.3">
      <c r="A236" s="3">
        <v>24</v>
      </c>
      <c r="B236" s="3" t="s">
        <v>858</v>
      </c>
      <c r="C236" s="3">
        <v>2</v>
      </c>
      <c r="D236" s="3">
        <v>2</v>
      </c>
      <c r="E236" s="3" t="s">
        <v>1183</v>
      </c>
    </row>
    <row r="237" spans="1:5" x14ac:dyDescent="0.3">
      <c r="A237" s="3">
        <v>24</v>
      </c>
      <c r="B237" s="3" t="s">
        <v>794</v>
      </c>
      <c r="C237" s="3">
        <v>3</v>
      </c>
      <c r="D237" s="3">
        <v>4</v>
      </c>
      <c r="E237" s="3" t="s">
        <v>1184</v>
      </c>
    </row>
    <row r="238" spans="1:5" x14ac:dyDescent="0.3">
      <c r="A238" s="3">
        <v>24</v>
      </c>
      <c r="B238" s="3" t="s">
        <v>734</v>
      </c>
      <c r="C238" s="3">
        <v>2</v>
      </c>
      <c r="D238" s="3">
        <v>3</v>
      </c>
      <c r="E238" s="3" t="s">
        <v>1184</v>
      </c>
    </row>
    <row r="239" spans="1:5" x14ac:dyDescent="0.3">
      <c r="A239" s="3">
        <v>24</v>
      </c>
      <c r="B239" s="3" t="s">
        <v>953</v>
      </c>
      <c r="C239" s="3">
        <v>4</v>
      </c>
      <c r="D239" s="3" t="s">
        <v>1182</v>
      </c>
      <c r="E239" s="3" t="s">
        <v>1182</v>
      </c>
    </row>
    <row r="240" spans="1:5" x14ac:dyDescent="0.3">
      <c r="A240" s="3">
        <v>24</v>
      </c>
      <c r="B240" s="3" t="s">
        <v>895</v>
      </c>
      <c r="C240" s="3">
        <v>3</v>
      </c>
      <c r="D240" s="3">
        <v>3</v>
      </c>
      <c r="E240" s="3" t="s">
        <v>1183</v>
      </c>
    </row>
    <row r="241" spans="1:5" x14ac:dyDescent="0.3">
      <c r="A241" s="3">
        <v>24</v>
      </c>
      <c r="B241" s="3" t="s">
        <v>816</v>
      </c>
      <c r="C241" s="3">
        <v>3</v>
      </c>
      <c r="D241" s="3">
        <v>1</v>
      </c>
      <c r="E241" s="3" t="s">
        <v>1184</v>
      </c>
    </row>
    <row r="242" spans="1:5" x14ac:dyDescent="0.3">
      <c r="A242" s="3">
        <v>24</v>
      </c>
      <c r="B242" s="3" t="s">
        <v>871</v>
      </c>
      <c r="C242" s="3">
        <v>1</v>
      </c>
      <c r="D242" s="3">
        <v>1</v>
      </c>
      <c r="E242" s="3" t="s">
        <v>1183</v>
      </c>
    </row>
    <row r="243" spans="1:5" x14ac:dyDescent="0.3">
      <c r="A243" s="3">
        <v>24</v>
      </c>
      <c r="B243" s="3" t="s">
        <v>877</v>
      </c>
      <c r="C243" s="3">
        <v>4</v>
      </c>
      <c r="D243" s="3">
        <v>4</v>
      </c>
      <c r="E243" s="3" t="s">
        <v>1183</v>
      </c>
    </row>
    <row r="244" spans="1:5" x14ac:dyDescent="0.3">
      <c r="A244" s="3">
        <v>24</v>
      </c>
      <c r="B244" s="3" t="s">
        <v>752</v>
      </c>
      <c r="C244" s="3">
        <v>1</v>
      </c>
      <c r="D244" s="3">
        <v>1</v>
      </c>
      <c r="E244" s="3" t="s">
        <v>1183</v>
      </c>
    </row>
    <row r="245" spans="1:5" x14ac:dyDescent="0.3">
      <c r="A245" s="3">
        <v>25</v>
      </c>
      <c r="B245" s="3" t="s">
        <v>734</v>
      </c>
      <c r="C245" s="3">
        <v>3</v>
      </c>
      <c r="D245" s="3">
        <v>3</v>
      </c>
      <c r="E245" s="3" t="s">
        <v>1183</v>
      </c>
    </row>
    <row r="246" spans="1:5" x14ac:dyDescent="0.3">
      <c r="A246" s="3">
        <v>25</v>
      </c>
      <c r="B246" s="3" t="s">
        <v>740</v>
      </c>
      <c r="C246" s="3">
        <v>4</v>
      </c>
      <c r="D246" s="3">
        <v>4</v>
      </c>
      <c r="E246" s="3" t="s">
        <v>1183</v>
      </c>
    </row>
    <row r="247" spans="1:5" x14ac:dyDescent="0.3">
      <c r="A247" s="3">
        <v>25</v>
      </c>
      <c r="B247" s="3" t="s">
        <v>746</v>
      </c>
      <c r="C247" s="3">
        <v>2</v>
      </c>
      <c r="D247" s="3">
        <v>1</v>
      </c>
      <c r="E247" s="3" t="s">
        <v>1184</v>
      </c>
    </row>
    <row r="248" spans="1:5" x14ac:dyDescent="0.3">
      <c r="A248" s="3">
        <v>25</v>
      </c>
      <c r="B248" s="3" t="s">
        <v>752</v>
      </c>
      <c r="C248" s="3">
        <v>2</v>
      </c>
      <c r="D248" s="3">
        <v>1</v>
      </c>
      <c r="E248" s="3" t="s">
        <v>1184</v>
      </c>
    </row>
    <row r="249" spans="1:5" x14ac:dyDescent="0.3">
      <c r="A249" s="3">
        <v>25</v>
      </c>
      <c r="B249" s="3" t="s">
        <v>758</v>
      </c>
      <c r="C249" s="3">
        <v>3</v>
      </c>
      <c r="D249" s="3">
        <v>3</v>
      </c>
      <c r="E249" s="3" t="s">
        <v>1183</v>
      </c>
    </row>
    <row r="250" spans="1:5" x14ac:dyDescent="0.3">
      <c r="A250" s="3">
        <v>25</v>
      </c>
      <c r="B250" s="3" t="s">
        <v>764</v>
      </c>
      <c r="C250" s="3">
        <v>1</v>
      </c>
      <c r="D250" s="3">
        <v>1</v>
      </c>
      <c r="E250" s="3" t="s">
        <v>1183</v>
      </c>
    </row>
    <row r="251" spans="1:5" x14ac:dyDescent="0.3">
      <c r="A251" s="3">
        <v>25</v>
      </c>
      <c r="B251" s="3" t="s">
        <v>770</v>
      </c>
      <c r="C251" s="3">
        <v>2</v>
      </c>
      <c r="D251" s="3">
        <v>2</v>
      </c>
      <c r="E251" s="3" t="s">
        <v>1183</v>
      </c>
    </row>
    <row r="252" spans="1:5" x14ac:dyDescent="0.3">
      <c r="A252" s="3">
        <v>25</v>
      </c>
      <c r="B252" s="3" t="s">
        <v>776</v>
      </c>
      <c r="C252" s="3">
        <v>3</v>
      </c>
      <c r="D252" s="3">
        <v>3</v>
      </c>
      <c r="E252" s="3" t="s">
        <v>1183</v>
      </c>
    </row>
    <row r="253" spans="1:5" x14ac:dyDescent="0.3">
      <c r="A253" s="3">
        <v>25</v>
      </c>
      <c r="B253" s="3" t="s">
        <v>782</v>
      </c>
      <c r="C253" s="3">
        <v>4</v>
      </c>
      <c r="D253" s="3">
        <v>4</v>
      </c>
      <c r="E253" s="3" t="s">
        <v>1183</v>
      </c>
    </row>
    <row r="254" spans="1:5" x14ac:dyDescent="0.3">
      <c r="A254" s="3">
        <v>25</v>
      </c>
      <c r="B254" s="3" t="s">
        <v>788</v>
      </c>
      <c r="C254" s="3">
        <v>3</v>
      </c>
      <c r="D254" s="3">
        <v>3</v>
      </c>
      <c r="E254" s="3" t="s">
        <v>1183</v>
      </c>
    </row>
    <row r="255" spans="1:5" x14ac:dyDescent="0.3">
      <c r="A255" s="3">
        <v>26</v>
      </c>
      <c r="B255" s="3" t="s">
        <v>734</v>
      </c>
      <c r="C255" s="3">
        <v>3</v>
      </c>
      <c r="D255" s="3">
        <v>3</v>
      </c>
      <c r="E255" s="3" t="s">
        <v>1183</v>
      </c>
    </row>
    <row r="256" spans="1:5" x14ac:dyDescent="0.3">
      <c r="A256" s="3">
        <v>26</v>
      </c>
      <c r="B256" s="3" t="s">
        <v>740</v>
      </c>
      <c r="C256" s="3">
        <v>4</v>
      </c>
      <c r="D256" s="3">
        <v>4</v>
      </c>
      <c r="E256" s="3" t="s">
        <v>1183</v>
      </c>
    </row>
    <row r="257" spans="1:5" x14ac:dyDescent="0.3">
      <c r="A257" s="3">
        <v>26</v>
      </c>
      <c r="B257" s="3" t="s">
        <v>746</v>
      </c>
      <c r="C257" s="3">
        <v>2</v>
      </c>
      <c r="D257" s="3">
        <v>1</v>
      </c>
      <c r="E257" s="3" t="s">
        <v>1184</v>
      </c>
    </row>
    <row r="258" spans="1:5" x14ac:dyDescent="0.3">
      <c r="A258" s="3">
        <v>26</v>
      </c>
      <c r="B258" s="3" t="s">
        <v>752</v>
      </c>
      <c r="C258" s="3">
        <v>2</v>
      </c>
      <c r="D258" s="3">
        <v>1</v>
      </c>
      <c r="E258" s="3" t="s">
        <v>1184</v>
      </c>
    </row>
    <row r="259" spans="1:5" x14ac:dyDescent="0.3">
      <c r="A259" s="3">
        <v>26</v>
      </c>
      <c r="B259" s="3" t="s">
        <v>758</v>
      </c>
      <c r="C259" s="3">
        <v>3</v>
      </c>
      <c r="D259" s="3">
        <v>3</v>
      </c>
      <c r="E259" s="3" t="s">
        <v>1183</v>
      </c>
    </row>
    <row r="260" spans="1:5" x14ac:dyDescent="0.3">
      <c r="A260" s="3">
        <v>26</v>
      </c>
      <c r="B260" s="3" t="s">
        <v>764</v>
      </c>
      <c r="C260" s="3">
        <v>1</v>
      </c>
      <c r="D260" s="3">
        <v>1</v>
      </c>
      <c r="E260" s="3" t="s">
        <v>1183</v>
      </c>
    </row>
    <row r="261" spans="1:5" x14ac:dyDescent="0.3">
      <c r="A261" s="3">
        <v>26</v>
      </c>
      <c r="B261" s="3" t="s">
        <v>770</v>
      </c>
      <c r="C261" s="3">
        <v>2</v>
      </c>
      <c r="D261" s="3">
        <v>2</v>
      </c>
      <c r="E261" s="3" t="s">
        <v>1183</v>
      </c>
    </row>
    <row r="262" spans="1:5" x14ac:dyDescent="0.3">
      <c r="A262" s="3">
        <v>26</v>
      </c>
      <c r="B262" s="3" t="s">
        <v>776</v>
      </c>
      <c r="C262" s="3">
        <v>3</v>
      </c>
      <c r="D262" s="3">
        <v>3</v>
      </c>
      <c r="E262" s="3" t="s">
        <v>1183</v>
      </c>
    </row>
    <row r="263" spans="1:5" x14ac:dyDescent="0.3">
      <c r="A263" s="3">
        <v>26</v>
      </c>
      <c r="B263" s="3" t="s">
        <v>782</v>
      </c>
      <c r="C263" s="3">
        <v>4</v>
      </c>
      <c r="D263" s="3">
        <v>4</v>
      </c>
      <c r="E263" s="3" t="s">
        <v>1183</v>
      </c>
    </row>
    <row r="264" spans="1:5" x14ac:dyDescent="0.3">
      <c r="A264" s="3">
        <v>26</v>
      </c>
      <c r="B264" s="3" t="s">
        <v>788</v>
      </c>
      <c r="C264" s="3">
        <v>3</v>
      </c>
      <c r="D264" s="3">
        <v>3</v>
      </c>
      <c r="E264" s="3" t="s">
        <v>1183</v>
      </c>
    </row>
    <row r="265" spans="1:5" x14ac:dyDescent="0.3">
      <c r="A265" s="3">
        <v>27</v>
      </c>
      <c r="B265" s="3" t="s">
        <v>734</v>
      </c>
      <c r="C265" s="3">
        <v>3</v>
      </c>
      <c r="D265" s="3">
        <v>3</v>
      </c>
      <c r="E265" s="3" t="s">
        <v>1183</v>
      </c>
    </row>
    <row r="266" spans="1:5" x14ac:dyDescent="0.3">
      <c r="A266" s="3">
        <v>27</v>
      </c>
      <c r="B266" s="3" t="s">
        <v>740</v>
      </c>
      <c r="C266" s="3">
        <v>4</v>
      </c>
      <c r="D266" s="3">
        <v>4</v>
      </c>
      <c r="E266" s="3" t="s">
        <v>1183</v>
      </c>
    </row>
    <row r="267" spans="1:5" x14ac:dyDescent="0.3">
      <c r="A267" s="3">
        <v>27</v>
      </c>
      <c r="B267" s="3" t="s">
        <v>746</v>
      </c>
      <c r="C267" s="3">
        <v>2</v>
      </c>
      <c r="D267" s="3">
        <v>1</v>
      </c>
      <c r="E267" s="3" t="s">
        <v>1184</v>
      </c>
    </row>
    <row r="268" spans="1:5" x14ac:dyDescent="0.3">
      <c r="A268" s="3">
        <v>27</v>
      </c>
      <c r="B268" s="3" t="s">
        <v>752</v>
      </c>
      <c r="C268" s="3">
        <v>2</v>
      </c>
      <c r="D268" s="3">
        <v>1</v>
      </c>
      <c r="E268" s="3" t="s">
        <v>1184</v>
      </c>
    </row>
    <row r="269" spans="1:5" x14ac:dyDescent="0.3">
      <c r="A269" s="3">
        <v>27</v>
      </c>
      <c r="B269" s="3" t="s">
        <v>758</v>
      </c>
      <c r="C269" s="3">
        <v>1</v>
      </c>
      <c r="D269" s="3">
        <v>3</v>
      </c>
      <c r="E269" s="3" t="s">
        <v>1184</v>
      </c>
    </row>
    <row r="270" spans="1:5" x14ac:dyDescent="0.3">
      <c r="A270" s="3">
        <v>27</v>
      </c>
      <c r="B270" s="3" t="s">
        <v>764</v>
      </c>
      <c r="C270" s="3">
        <v>1</v>
      </c>
      <c r="D270" s="3">
        <v>1</v>
      </c>
      <c r="E270" s="3" t="s">
        <v>1183</v>
      </c>
    </row>
    <row r="271" spans="1:5" x14ac:dyDescent="0.3">
      <c r="A271" s="3">
        <v>27</v>
      </c>
      <c r="B271" s="3" t="s">
        <v>770</v>
      </c>
      <c r="C271" s="3">
        <v>2</v>
      </c>
      <c r="D271" s="3">
        <v>2</v>
      </c>
      <c r="E271" s="3" t="s">
        <v>1183</v>
      </c>
    </row>
    <row r="272" spans="1:5" x14ac:dyDescent="0.3">
      <c r="A272" s="3">
        <v>27</v>
      </c>
      <c r="B272" s="3" t="s">
        <v>776</v>
      </c>
      <c r="C272" s="3">
        <v>3</v>
      </c>
      <c r="D272" s="3">
        <v>3</v>
      </c>
      <c r="E272" s="3" t="s">
        <v>1183</v>
      </c>
    </row>
    <row r="273" spans="1:5" x14ac:dyDescent="0.3">
      <c r="A273" s="3">
        <v>27</v>
      </c>
      <c r="B273" s="3" t="s">
        <v>782</v>
      </c>
      <c r="C273" s="3">
        <v>4</v>
      </c>
      <c r="D273" s="3">
        <v>4</v>
      </c>
      <c r="E273" s="3" t="s">
        <v>1183</v>
      </c>
    </row>
    <row r="274" spans="1:5" x14ac:dyDescent="0.3">
      <c r="A274" s="3">
        <v>27</v>
      </c>
      <c r="B274" s="3" t="s">
        <v>788</v>
      </c>
      <c r="C274" s="3">
        <v>3</v>
      </c>
      <c r="D274" s="3">
        <v>3</v>
      </c>
      <c r="E274" s="3" t="s">
        <v>1183</v>
      </c>
    </row>
    <row r="275" spans="1:5" x14ac:dyDescent="0.3">
      <c r="A275" s="3">
        <v>28</v>
      </c>
      <c r="B275" s="3" t="s">
        <v>840</v>
      </c>
      <c r="C275" s="3">
        <v>1</v>
      </c>
      <c r="D275" s="3">
        <v>1</v>
      </c>
      <c r="E275" s="3" t="s">
        <v>1183</v>
      </c>
    </row>
    <row r="276" spans="1:5" x14ac:dyDescent="0.3">
      <c r="A276" s="3">
        <v>28</v>
      </c>
      <c r="B276" s="3" t="s">
        <v>752</v>
      </c>
      <c r="C276" s="3">
        <v>1</v>
      </c>
      <c r="D276" s="3">
        <v>1</v>
      </c>
      <c r="E276" s="3" t="s">
        <v>1183</v>
      </c>
    </row>
    <row r="277" spans="1:5" x14ac:dyDescent="0.3">
      <c r="A277" s="3">
        <v>28</v>
      </c>
      <c r="B277" s="3" t="s">
        <v>895</v>
      </c>
      <c r="C277" s="3">
        <v>3</v>
      </c>
      <c r="D277" s="3">
        <v>3</v>
      </c>
      <c r="E277" s="3" t="s">
        <v>1183</v>
      </c>
    </row>
    <row r="278" spans="1:5" x14ac:dyDescent="0.3">
      <c r="A278" s="3">
        <v>28</v>
      </c>
      <c r="B278" s="3" t="s">
        <v>810</v>
      </c>
      <c r="C278" s="3">
        <v>4</v>
      </c>
      <c r="D278" s="3">
        <v>4</v>
      </c>
      <c r="E278" s="3" t="s">
        <v>1183</v>
      </c>
    </row>
    <row r="279" spans="1:5" x14ac:dyDescent="0.3">
      <c r="A279" s="3">
        <v>28</v>
      </c>
      <c r="B279" s="3" t="s">
        <v>734</v>
      </c>
      <c r="C279" s="3">
        <v>3</v>
      </c>
      <c r="D279" s="3">
        <v>3</v>
      </c>
      <c r="E279" s="3" t="s">
        <v>1183</v>
      </c>
    </row>
    <row r="280" spans="1:5" x14ac:dyDescent="0.3">
      <c r="A280" s="3">
        <v>28</v>
      </c>
      <c r="B280" s="3" t="s">
        <v>877</v>
      </c>
      <c r="C280" s="3">
        <v>4</v>
      </c>
      <c r="D280" s="3">
        <v>4</v>
      </c>
      <c r="E280" s="3" t="s">
        <v>1183</v>
      </c>
    </row>
    <row r="281" spans="1:5" x14ac:dyDescent="0.3">
      <c r="A281" s="3">
        <v>28</v>
      </c>
      <c r="B281" s="3" t="s">
        <v>822</v>
      </c>
      <c r="C281" s="3">
        <v>3</v>
      </c>
      <c r="D281" s="3">
        <v>3</v>
      </c>
      <c r="E281" s="3" t="s">
        <v>1183</v>
      </c>
    </row>
    <row r="282" spans="1:5" x14ac:dyDescent="0.3">
      <c r="A282" s="3">
        <v>28</v>
      </c>
      <c r="B282" s="3" t="s">
        <v>901</v>
      </c>
      <c r="C282" s="3">
        <v>4</v>
      </c>
      <c r="D282" s="3">
        <v>4</v>
      </c>
      <c r="E282" s="3" t="s">
        <v>1183</v>
      </c>
    </row>
    <row r="283" spans="1:5" x14ac:dyDescent="0.3">
      <c r="A283" s="3">
        <v>28</v>
      </c>
      <c r="B283" s="3" t="s">
        <v>941</v>
      </c>
      <c r="C283" s="3">
        <v>4</v>
      </c>
      <c r="D283" s="3">
        <v>4</v>
      </c>
      <c r="E283" s="3" t="s">
        <v>1183</v>
      </c>
    </row>
    <row r="284" spans="1:5" x14ac:dyDescent="0.3">
      <c r="A284" s="3">
        <v>28</v>
      </c>
      <c r="B284" s="3" t="s">
        <v>834</v>
      </c>
      <c r="C284" s="3">
        <v>1</v>
      </c>
      <c r="D284" s="3">
        <v>1</v>
      </c>
      <c r="E284" s="3" t="s">
        <v>1183</v>
      </c>
    </row>
    <row r="285" spans="1:5" x14ac:dyDescent="0.3">
      <c r="A285" s="3">
        <v>29</v>
      </c>
      <c r="B285" s="3" t="s">
        <v>541</v>
      </c>
      <c r="C285" s="3">
        <v>2</v>
      </c>
      <c r="D285" s="3">
        <v>1</v>
      </c>
      <c r="E285" s="3" t="s">
        <v>1184</v>
      </c>
    </row>
    <row r="286" spans="1:5" x14ac:dyDescent="0.3">
      <c r="A286" s="3">
        <v>29</v>
      </c>
      <c r="B286" s="3" t="s">
        <v>505</v>
      </c>
      <c r="C286" s="3">
        <v>2</v>
      </c>
      <c r="D286" s="3">
        <v>1</v>
      </c>
      <c r="E286" s="3" t="s">
        <v>1184</v>
      </c>
    </row>
    <row r="287" spans="1:5" x14ac:dyDescent="0.3">
      <c r="A287" s="3">
        <v>29</v>
      </c>
      <c r="B287" s="3" t="s">
        <v>553</v>
      </c>
      <c r="C287" s="3">
        <v>1</v>
      </c>
      <c r="D287" s="3">
        <v>1</v>
      </c>
      <c r="E287" s="3" t="s">
        <v>1183</v>
      </c>
    </row>
    <row r="288" spans="1:5" x14ac:dyDescent="0.3">
      <c r="A288" s="3">
        <v>29</v>
      </c>
      <c r="B288" s="3" t="s">
        <v>559</v>
      </c>
      <c r="C288" s="3">
        <v>3</v>
      </c>
      <c r="D288" s="3">
        <v>4</v>
      </c>
      <c r="E288" s="3" t="s">
        <v>1184</v>
      </c>
    </row>
    <row r="289" spans="1:5" x14ac:dyDescent="0.3">
      <c r="A289" s="3">
        <v>29</v>
      </c>
      <c r="B289" s="3" t="s">
        <v>608</v>
      </c>
      <c r="C289" s="3">
        <v>3</v>
      </c>
      <c r="D289" s="3">
        <v>3</v>
      </c>
      <c r="E289" s="3" t="s">
        <v>1183</v>
      </c>
    </row>
    <row r="290" spans="1:5" x14ac:dyDescent="0.3">
      <c r="A290" s="3">
        <v>29</v>
      </c>
      <c r="B290" s="3" t="s">
        <v>614</v>
      </c>
      <c r="C290" s="3">
        <v>1</v>
      </c>
      <c r="D290" s="3">
        <v>3</v>
      </c>
      <c r="E290" s="3" t="s">
        <v>1184</v>
      </c>
    </row>
    <row r="291" spans="1:5" x14ac:dyDescent="0.3">
      <c r="A291" s="3">
        <v>29</v>
      </c>
      <c r="B291" s="3" t="s">
        <v>682</v>
      </c>
      <c r="C291" s="3">
        <v>4</v>
      </c>
      <c r="D291" s="3">
        <v>2</v>
      </c>
      <c r="E291" s="3" t="s">
        <v>1184</v>
      </c>
    </row>
    <row r="292" spans="1:5" x14ac:dyDescent="0.3">
      <c r="A292" s="3">
        <v>29</v>
      </c>
      <c r="B292" s="3" t="s">
        <v>626</v>
      </c>
      <c r="C292" s="3">
        <v>1</v>
      </c>
      <c r="D292" s="3">
        <v>4</v>
      </c>
      <c r="E292" s="3" t="s">
        <v>1184</v>
      </c>
    </row>
    <row r="293" spans="1:5" x14ac:dyDescent="0.3">
      <c r="A293" s="3">
        <v>29</v>
      </c>
      <c r="B293" s="3" t="s">
        <v>632</v>
      </c>
      <c r="C293" s="3">
        <v>4</v>
      </c>
      <c r="D293" s="3">
        <v>3</v>
      </c>
      <c r="E293" s="3" t="s">
        <v>1184</v>
      </c>
    </row>
    <row r="294" spans="1:5" x14ac:dyDescent="0.3">
      <c r="A294" s="3">
        <v>29</v>
      </c>
      <c r="B294" s="3" t="s">
        <v>638</v>
      </c>
      <c r="C294" s="3">
        <v>2</v>
      </c>
      <c r="D294" s="3">
        <v>1</v>
      </c>
      <c r="E294" s="3" t="s">
        <v>1184</v>
      </c>
    </row>
    <row r="295" spans="1:5" x14ac:dyDescent="0.3">
      <c r="A295" s="3">
        <v>30</v>
      </c>
      <c r="B295" s="3" t="s">
        <v>310</v>
      </c>
      <c r="C295" s="3">
        <v>2</v>
      </c>
      <c r="D295" s="3">
        <v>2</v>
      </c>
      <c r="E295" s="3" t="s">
        <v>1183</v>
      </c>
    </row>
    <row r="296" spans="1:5" x14ac:dyDescent="0.3">
      <c r="A296" s="3">
        <v>30</v>
      </c>
      <c r="B296" s="3" t="s">
        <v>474</v>
      </c>
      <c r="C296" s="3">
        <v>2</v>
      </c>
      <c r="D296" s="3">
        <v>1</v>
      </c>
      <c r="E296" s="3" t="s">
        <v>1184</v>
      </c>
    </row>
    <row r="297" spans="1:5" x14ac:dyDescent="0.3">
      <c r="A297" s="3">
        <v>30</v>
      </c>
      <c r="B297" s="3" t="s">
        <v>430</v>
      </c>
      <c r="C297" s="3">
        <v>2</v>
      </c>
      <c r="D297" s="3">
        <v>1</v>
      </c>
      <c r="E297" s="3" t="s">
        <v>1184</v>
      </c>
    </row>
    <row r="298" spans="1:5" x14ac:dyDescent="0.3">
      <c r="A298" s="3">
        <v>30</v>
      </c>
      <c r="B298" s="3" t="s">
        <v>286</v>
      </c>
      <c r="C298" s="3">
        <v>2</v>
      </c>
      <c r="D298" s="3">
        <v>2</v>
      </c>
      <c r="E298" s="3" t="s">
        <v>1183</v>
      </c>
    </row>
    <row r="299" spans="1:5" x14ac:dyDescent="0.3">
      <c r="A299" s="3">
        <v>30</v>
      </c>
      <c r="B299" s="3" t="s">
        <v>388</v>
      </c>
      <c r="C299" s="3">
        <v>2</v>
      </c>
      <c r="D299" s="3">
        <v>2</v>
      </c>
      <c r="E299" s="3" t="s">
        <v>1183</v>
      </c>
    </row>
    <row r="300" spans="1:5" x14ac:dyDescent="0.3">
      <c r="A300" s="3">
        <v>30</v>
      </c>
      <c r="B300" s="3" t="s">
        <v>394</v>
      </c>
      <c r="C300" s="3">
        <v>1</v>
      </c>
      <c r="D300" s="3">
        <v>1</v>
      </c>
      <c r="E300" s="3" t="s">
        <v>1183</v>
      </c>
    </row>
    <row r="301" spans="1:5" x14ac:dyDescent="0.3">
      <c r="A301" s="3">
        <v>30</v>
      </c>
      <c r="B301" s="3" t="s">
        <v>442</v>
      </c>
      <c r="C301" s="3">
        <v>2</v>
      </c>
      <c r="D301" s="3">
        <v>2</v>
      </c>
      <c r="E301" s="3" t="s">
        <v>1183</v>
      </c>
    </row>
    <row r="302" spans="1:5" x14ac:dyDescent="0.3">
      <c r="A302" s="3">
        <v>30</v>
      </c>
      <c r="B302" s="3" t="s">
        <v>352</v>
      </c>
      <c r="C302" s="3">
        <v>4</v>
      </c>
      <c r="D302" s="3">
        <v>1</v>
      </c>
      <c r="E302" s="3" t="s">
        <v>1184</v>
      </c>
    </row>
    <row r="303" spans="1:5" x14ac:dyDescent="0.3">
      <c r="A303" s="3">
        <v>30</v>
      </c>
      <c r="B303" s="3" t="s">
        <v>316</v>
      </c>
      <c r="C303" s="3">
        <v>3</v>
      </c>
      <c r="D303" s="3">
        <v>2</v>
      </c>
      <c r="E303" s="3" t="s">
        <v>1184</v>
      </c>
    </row>
    <row r="304" spans="1:5" x14ac:dyDescent="0.3">
      <c r="A304" s="3">
        <v>30</v>
      </c>
      <c r="B304" s="3" t="s">
        <v>274</v>
      </c>
      <c r="C304" s="3">
        <v>3</v>
      </c>
      <c r="D304" s="3">
        <v>2</v>
      </c>
      <c r="E304" s="3" t="s">
        <v>1184</v>
      </c>
    </row>
    <row r="305" spans="1:5" x14ac:dyDescent="0.3">
      <c r="A305" s="3">
        <v>31</v>
      </c>
      <c r="B305" s="3" t="s">
        <v>553</v>
      </c>
      <c r="C305" s="3">
        <v>1</v>
      </c>
      <c r="D305" s="3">
        <v>1</v>
      </c>
      <c r="E305" s="3" t="s">
        <v>1183</v>
      </c>
    </row>
    <row r="306" spans="1:5" x14ac:dyDescent="0.3">
      <c r="A306" s="3">
        <v>31</v>
      </c>
      <c r="B306" s="3" t="s">
        <v>547</v>
      </c>
      <c r="C306" s="3">
        <v>2</v>
      </c>
      <c r="D306" s="3">
        <v>2</v>
      </c>
      <c r="E306" s="3" t="s">
        <v>1183</v>
      </c>
    </row>
    <row r="307" spans="1:5" x14ac:dyDescent="0.3">
      <c r="A307" s="3">
        <v>31</v>
      </c>
      <c r="B307" s="3" t="s">
        <v>541</v>
      </c>
      <c r="C307" s="3">
        <v>3</v>
      </c>
      <c r="D307" s="3">
        <v>1</v>
      </c>
      <c r="E307" s="3" t="s">
        <v>1184</v>
      </c>
    </row>
    <row r="308" spans="1:5" x14ac:dyDescent="0.3">
      <c r="A308" s="3">
        <v>31</v>
      </c>
      <c r="B308" s="3" t="s">
        <v>608</v>
      </c>
      <c r="C308" s="3">
        <v>3</v>
      </c>
      <c r="D308" s="3">
        <v>3</v>
      </c>
      <c r="E308" s="3" t="s">
        <v>1183</v>
      </c>
    </row>
    <row r="309" spans="1:5" x14ac:dyDescent="0.3">
      <c r="A309" s="3">
        <v>31</v>
      </c>
      <c r="B309" s="3" t="s">
        <v>602</v>
      </c>
      <c r="C309" s="3">
        <v>2</v>
      </c>
      <c r="D309" s="3">
        <v>2</v>
      </c>
      <c r="E309" s="3" t="s">
        <v>1183</v>
      </c>
    </row>
    <row r="310" spans="1:5" x14ac:dyDescent="0.3">
      <c r="A310" s="3">
        <v>31</v>
      </c>
      <c r="B310" s="3" t="s">
        <v>596</v>
      </c>
      <c r="C310" s="3">
        <v>1</v>
      </c>
      <c r="D310" s="3">
        <v>2</v>
      </c>
      <c r="E310" s="3" t="s">
        <v>1184</v>
      </c>
    </row>
    <row r="311" spans="1:5" x14ac:dyDescent="0.3">
      <c r="A311" s="3">
        <v>31</v>
      </c>
      <c r="B311" s="3" t="s">
        <v>590</v>
      </c>
      <c r="C311" s="3">
        <v>4</v>
      </c>
      <c r="D311" s="3">
        <v>4</v>
      </c>
      <c r="E311" s="3" t="s">
        <v>1183</v>
      </c>
    </row>
    <row r="312" spans="1:5" x14ac:dyDescent="0.3">
      <c r="A312" s="3">
        <v>31</v>
      </c>
      <c r="B312" s="3" t="s">
        <v>614</v>
      </c>
      <c r="C312" s="3">
        <v>4</v>
      </c>
      <c r="D312" s="3">
        <v>3</v>
      </c>
      <c r="E312" s="3" t="s">
        <v>1184</v>
      </c>
    </row>
    <row r="313" spans="1:5" x14ac:dyDescent="0.3">
      <c r="A313" s="3">
        <v>31</v>
      </c>
      <c r="B313" s="3" t="s">
        <v>672</v>
      </c>
      <c r="C313" s="3">
        <v>2</v>
      </c>
      <c r="D313" s="3">
        <v>4</v>
      </c>
      <c r="E313" s="3" t="s">
        <v>1184</v>
      </c>
    </row>
    <row r="314" spans="1:5" x14ac:dyDescent="0.3">
      <c r="A314" s="3">
        <v>31</v>
      </c>
      <c r="B314" s="3" t="s">
        <v>730</v>
      </c>
      <c r="C314" s="3">
        <v>2</v>
      </c>
      <c r="D314" s="3">
        <v>2</v>
      </c>
      <c r="E314" s="3" t="s">
        <v>1183</v>
      </c>
    </row>
    <row r="315" spans="1:5" x14ac:dyDescent="0.3">
      <c r="A315" s="3">
        <v>32</v>
      </c>
      <c r="B315" s="3" t="s">
        <v>583</v>
      </c>
      <c r="C315" s="3">
        <v>3</v>
      </c>
      <c r="D315" s="3">
        <v>3</v>
      </c>
      <c r="E315" s="3" t="s">
        <v>1183</v>
      </c>
    </row>
    <row r="316" spans="1:5" x14ac:dyDescent="0.3">
      <c r="A316" s="3">
        <v>32</v>
      </c>
      <c r="B316" s="3" t="s">
        <v>602</v>
      </c>
      <c r="C316" s="3">
        <v>2</v>
      </c>
      <c r="D316" s="3">
        <v>2</v>
      </c>
      <c r="E316" s="3" t="s">
        <v>1183</v>
      </c>
    </row>
    <row r="317" spans="1:5" x14ac:dyDescent="0.3">
      <c r="A317" s="3">
        <v>32</v>
      </c>
      <c r="B317" s="3" t="s">
        <v>511</v>
      </c>
      <c r="C317" s="3">
        <v>1</v>
      </c>
      <c r="D317" s="3">
        <v>2</v>
      </c>
      <c r="E317" s="3" t="s">
        <v>1184</v>
      </c>
    </row>
    <row r="318" spans="1:5" x14ac:dyDescent="0.3">
      <c r="A318" s="3">
        <v>32</v>
      </c>
      <c r="B318" s="3" t="s">
        <v>666</v>
      </c>
      <c r="C318" s="3">
        <v>2</v>
      </c>
      <c r="D318" s="3">
        <v>4</v>
      </c>
      <c r="E318" s="3" t="s">
        <v>1184</v>
      </c>
    </row>
    <row r="319" spans="1:5" x14ac:dyDescent="0.3">
      <c r="A319" s="3">
        <v>32</v>
      </c>
      <c r="B319" s="3" t="s">
        <v>638</v>
      </c>
      <c r="C319" s="3">
        <v>3</v>
      </c>
      <c r="D319" s="3">
        <v>1</v>
      </c>
      <c r="E319" s="3" t="s">
        <v>1184</v>
      </c>
    </row>
    <row r="320" spans="1:5" x14ac:dyDescent="0.3">
      <c r="A320" s="3">
        <v>32</v>
      </c>
      <c r="B320" s="3" t="s">
        <v>712</v>
      </c>
      <c r="C320" s="3">
        <v>2</v>
      </c>
      <c r="D320" s="3">
        <v>2</v>
      </c>
      <c r="E320" s="3" t="s">
        <v>1183</v>
      </c>
    </row>
    <row r="321" spans="1:5" x14ac:dyDescent="0.3">
      <c r="A321" s="3">
        <v>32</v>
      </c>
      <c r="B321" s="3" t="s">
        <v>694</v>
      </c>
      <c r="C321" s="3">
        <v>1</v>
      </c>
      <c r="D321" s="3">
        <v>1</v>
      </c>
      <c r="E321" s="3" t="s">
        <v>1183</v>
      </c>
    </row>
    <row r="322" spans="1:5" x14ac:dyDescent="0.3">
      <c r="A322" s="3">
        <v>32</v>
      </c>
      <c r="B322" s="3" t="s">
        <v>565</v>
      </c>
      <c r="C322" s="3">
        <v>3</v>
      </c>
      <c r="D322" s="3">
        <v>3</v>
      </c>
      <c r="E322" s="3" t="s">
        <v>1183</v>
      </c>
    </row>
    <row r="323" spans="1:5" x14ac:dyDescent="0.3">
      <c r="A323" s="3">
        <v>32</v>
      </c>
      <c r="B323" s="3" t="s">
        <v>662</v>
      </c>
      <c r="C323" s="3">
        <v>2</v>
      </c>
      <c r="D323" s="3">
        <v>2</v>
      </c>
      <c r="E323" s="3" t="s">
        <v>1183</v>
      </c>
    </row>
    <row r="324" spans="1:5" x14ac:dyDescent="0.3">
      <c r="A324" s="3">
        <v>32</v>
      </c>
      <c r="B324" s="3" t="s">
        <v>529</v>
      </c>
      <c r="C324" s="3">
        <v>4</v>
      </c>
      <c r="D324" s="3">
        <v>4</v>
      </c>
      <c r="E324" s="3" t="s">
        <v>1183</v>
      </c>
    </row>
    <row r="325" spans="1:5" x14ac:dyDescent="0.3">
      <c r="A325" s="3">
        <v>33</v>
      </c>
      <c r="B325" s="3" t="s">
        <v>274</v>
      </c>
      <c r="C325" s="3">
        <v>2</v>
      </c>
      <c r="D325" s="3">
        <v>2</v>
      </c>
      <c r="E325" s="3" t="s">
        <v>1183</v>
      </c>
    </row>
    <row r="326" spans="1:5" x14ac:dyDescent="0.3">
      <c r="A326" s="3">
        <v>33</v>
      </c>
      <c r="B326" s="3" t="s">
        <v>474</v>
      </c>
      <c r="C326" s="3">
        <v>1</v>
      </c>
      <c r="D326" s="3">
        <v>1</v>
      </c>
      <c r="E326" s="3" t="s">
        <v>1183</v>
      </c>
    </row>
    <row r="327" spans="1:5" x14ac:dyDescent="0.3">
      <c r="A327" s="3">
        <v>33</v>
      </c>
      <c r="B327" s="3" t="s">
        <v>406</v>
      </c>
      <c r="C327" s="3">
        <v>4</v>
      </c>
      <c r="D327" s="3">
        <v>4</v>
      </c>
      <c r="E327" s="3" t="s">
        <v>1183</v>
      </c>
    </row>
    <row r="328" spans="1:5" x14ac:dyDescent="0.3">
      <c r="A328" s="3">
        <v>33</v>
      </c>
      <c r="B328" s="3" t="s">
        <v>394</v>
      </c>
      <c r="C328" s="3">
        <v>3</v>
      </c>
      <c r="D328" s="3">
        <v>1</v>
      </c>
      <c r="E328" s="3" t="s">
        <v>1184</v>
      </c>
    </row>
    <row r="329" spans="1:5" x14ac:dyDescent="0.3">
      <c r="A329" s="3">
        <v>33</v>
      </c>
      <c r="B329" s="3" t="s">
        <v>499</v>
      </c>
      <c r="C329" s="3">
        <v>3</v>
      </c>
      <c r="D329" s="3">
        <v>1</v>
      </c>
      <c r="E329" s="3" t="s">
        <v>1184</v>
      </c>
    </row>
    <row r="330" spans="1:5" x14ac:dyDescent="0.3">
      <c r="A330" s="3">
        <v>33</v>
      </c>
      <c r="B330" s="3" t="s">
        <v>480</v>
      </c>
      <c r="C330" s="3">
        <v>2</v>
      </c>
      <c r="D330" s="3">
        <v>2</v>
      </c>
      <c r="E330" s="3" t="s">
        <v>1183</v>
      </c>
    </row>
    <row r="331" spans="1:5" x14ac:dyDescent="0.3">
      <c r="A331" s="3">
        <v>33</v>
      </c>
      <c r="B331" s="3" t="s">
        <v>340</v>
      </c>
      <c r="C331" s="3">
        <v>3</v>
      </c>
      <c r="D331" s="3">
        <v>3</v>
      </c>
      <c r="E331" s="3" t="s">
        <v>1183</v>
      </c>
    </row>
    <row r="332" spans="1:5" x14ac:dyDescent="0.3">
      <c r="A332" s="3">
        <v>33</v>
      </c>
      <c r="B332" s="3" t="s">
        <v>364</v>
      </c>
      <c r="C332" s="3">
        <v>4</v>
      </c>
      <c r="D332" s="3">
        <v>4</v>
      </c>
      <c r="E332" s="3" t="s">
        <v>1183</v>
      </c>
    </row>
    <row r="333" spans="1:5" x14ac:dyDescent="0.3">
      <c r="A333" s="3">
        <v>33</v>
      </c>
      <c r="B333" s="3" t="s">
        <v>286</v>
      </c>
      <c r="C333" s="3">
        <v>2</v>
      </c>
      <c r="D333" s="3">
        <v>2</v>
      </c>
      <c r="E333" s="3" t="s">
        <v>1183</v>
      </c>
    </row>
    <row r="334" spans="1:5" x14ac:dyDescent="0.3">
      <c r="A334" s="3">
        <v>33</v>
      </c>
      <c r="B334" s="3" t="s">
        <v>483</v>
      </c>
      <c r="C334" s="3">
        <v>3</v>
      </c>
      <c r="D334" s="3">
        <v>3</v>
      </c>
      <c r="E334" s="3" t="s">
        <v>1183</v>
      </c>
    </row>
    <row r="335" spans="1:5" x14ac:dyDescent="0.3">
      <c r="A335" s="3">
        <v>34</v>
      </c>
      <c r="B335" s="3" t="s">
        <v>752</v>
      </c>
      <c r="C335" s="3">
        <v>1</v>
      </c>
      <c r="D335" s="3">
        <v>1</v>
      </c>
      <c r="E335" s="3" t="s">
        <v>1183</v>
      </c>
    </row>
    <row r="336" spans="1:5" x14ac:dyDescent="0.3">
      <c r="A336" s="3">
        <v>34</v>
      </c>
      <c r="B336" s="3" t="s">
        <v>953</v>
      </c>
      <c r="C336" s="3">
        <v>3</v>
      </c>
      <c r="D336" s="3" t="s">
        <v>1182</v>
      </c>
      <c r="E336" s="3" t="s">
        <v>1182</v>
      </c>
    </row>
    <row r="337" spans="1:5" x14ac:dyDescent="0.3">
      <c r="A337" s="3">
        <v>34</v>
      </c>
      <c r="B337" s="3" t="s">
        <v>840</v>
      </c>
      <c r="C337" s="3">
        <v>1</v>
      </c>
      <c r="D337" s="3">
        <v>1</v>
      </c>
      <c r="E337" s="3" t="s">
        <v>1183</v>
      </c>
    </row>
    <row r="338" spans="1:5" x14ac:dyDescent="0.3">
      <c r="A338" s="3">
        <v>34</v>
      </c>
      <c r="B338" s="3" t="s">
        <v>871</v>
      </c>
      <c r="C338" s="3">
        <v>1</v>
      </c>
      <c r="D338" s="3">
        <v>1</v>
      </c>
      <c r="E338" s="3" t="s">
        <v>1183</v>
      </c>
    </row>
    <row r="339" spans="1:5" x14ac:dyDescent="0.3">
      <c r="A339" s="3">
        <v>34</v>
      </c>
      <c r="B339" s="3" t="s">
        <v>937</v>
      </c>
      <c r="C339" s="3">
        <v>1</v>
      </c>
      <c r="D339" s="3">
        <v>2</v>
      </c>
      <c r="E339" s="3" t="s">
        <v>1184</v>
      </c>
    </row>
    <row r="340" spans="1:5" x14ac:dyDescent="0.3">
      <c r="A340" s="3">
        <v>34</v>
      </c>
      <c r="B340" s="3" t="s">
        <v>928</v>
      </c>
      <c r="C340" s="3">
        <v>3</v>
      </c>
      <c r="D340" s="3">
        <v>2</v>
      </c>
      <c r="E340" s="3" t="s">
        <v>1184</v>
      </c>
    </row>
    <row r="341" spans="1:5" x14ac:dyDescent="0.3">
      <c r="A341" s="3">
        <v>34</v>
      </c>
      <c r="B341" s="3" t="s">
        <v>740</v>
      </c>
      <c r="C341" s="3">
        <v>4</v>
      </c>
      <c r="D341" s="3">
        <v>4</v>
      </c>
      <c r="E341" s="3" t="s">
        <v>1183</v>
      </c>
    </row>
    <row r="342" spans="1:5" x14ac:dyDescent="0.3">
      <c r="A342" s="3">
        <v>34</v>
      </c>
      <c r="B342" s="3" t="s">
        <v>734</v>
      </c>
      <c r="C342" s="3">
        <v>3</v>
      </c>
      <c r="D342" s="3">
        <v>3</v>
      </c>
      <c r="E342" s="3" t="s">
        <v>1183</v>
      </c>
    </row>
    <row r="343" spans="1:5" x14ac:dyDescent="0.3">
      <c r="A343" s="3">
        <v>34</v>
      </c>
      <c r="B343" s="3" t="s">
        <v>858</v>
      </c>
      <c r="C343" s="3">
        <v>3</v>
      </c>
      <c r="D343" s="3">
        <v>2</v>
      </c>
      <c r="E343" s="3" t="s">
        <v>1184</v>
      </c>
    </row>
    <row r="344" spans="1:5" x14ac:dyDescent="0.3">
      <c r="A344" s="3">
        <v>34</v>
      </c>
      <c r="B344" s="3" t="s">
        <v>925</v>
      </c>
      <c r="C344" s="3">
        <v>2</v>
      </c>
      <c r="D344" s="3">
        <v>1</v>
      </c>
      <c r="E344" s="3" t="s">
        <v>1184</v>
      </c>
    </row>
    <row r="345" spans="1:5" x14ac:dyDescent="0.3">
      <c r="A345" s="3">
        <v>35</v>
      </c>
      <c r="B345" s="3" t="s">
        <v>752</v>
      </c>
      <c r="C345" s="3">
        <v>1</v>
      </c>
      <c r="D345" s="3">
        <v>1</v>
      </c>
      <c r="E345" s="3" t="s">
        <v>1183</v>
      </c>
    </row>
    <row r="346" spans="1:5" x14ac:dyDescent="0.3">
      <c r="A346" s="3">
        <v>35</v>
      </c>
      <c r="B346" s="3" t="s">
        <v>953</v>
      </c>
      <c r="C346" s="3">
        <v>4</v>
      </c>
      <c r="D346" s="3" t="s">
        <v>1182</v>
      </c>
      <c r="E346" s="3" t="s">
        <v>1182</v>
      </c>
    </row>
    <row r="347" spans="1:5" x14ac:dyDescent="0.3">
      <c r="A347" s="3">
        <v>35</v>
      </c>
      <c r="B347" s="3" t="s">
        <v>840</v>
      </c>
      <c r="C347" s="3">
        <v>1</v>
      </c>
      <c r="D347" s="3">
        <v>1</v>
      </c>
      <c r="E347" s="3" t="s">
        <v>1183</v>
      </c>
    </row>
    <row r="348" spans="1:5" x14ac:dyDescent="0.3">
      <c r="A348" s="3">
        <v>35</v>
      </c>
      <c r="B348" s="3" t="s">
        <v>871</v>
      </c>
      <c r="C348" s="3">
        <v>3</v>
      </c>
      <c r="D348" s="3">
        <v>1</v>
      </c>
      <c r="E348" s="3" t="s">
        <v>1184</v>
      </c>
    </row>
    <row r="349" spans="1:5" x14ac:dyDescent="0.3">
      <c r="A349" s="3">
        <v>35</v>
      </c>
      <c r="B349" s="3" t="s">
        <v>937</v>
      </c>
      <c r="C349" s="3">
        <v>1</v>
      </c>
      <c r="D349" s="3">
        <v>2</v>
      </c>
      <c r="E349" s="3" t="s">
        <v>1184</v>
      </c>
    </row>
    <row r="350" spans="1:5" x14ac:dyDescent="0.3">
      <c r="A350" s="3">
        <v>35</v>
      </c>
      <c r="B350" s="3" t="s">
        <v>928</v>
      </c>
      <c r="C350" s="3">
        <v>2</v>
      </c>
      <c r="D350" s="3">
        <v>2</v>
      </c>
      <c r="E350" s="3" t="s">
        <v>1183</v>
      </c>
    </row>
    <row r="351" spans="1:5" x14ac:dyDescent="0.3">
      <c r="A351" s="3">
        <v>35</v>
      </c>
      <c r="B351" s="3" t="s">
        <v>740</v>
      </c>
      <c r="C351" s="3">
        <v>4</v>
      </c>
      <c r="D351" s="3">
        <v>4</v>
      </c>
      <c r="E351" s="3" t="s">
        <v>1183</v>
      </c>
    </row>
    <row r="352" spans="1:5" x14ac:dyDescent="0.3">
      <c r="A352" s="3">
        <v>35</v>
      </c>
      <c r="B352" s="3" t="s">
        <v>734</v>
      </c>
      <c r="C352" s="3">
        <v>3</v>
      </c>
      <c r="D352" s="3">
        <v>3</v>
      </c>
      <c r="E352" s="3" t="s">
        <v>1183</v>
      </c>
    </row>
    <row r="353" spans="1:5" x14ac:dyDescent="0.3">
      <c r="A353" s="3">
        <v>35</v>
      </c>
      <c r="B353" s="3" t="s">
        <v>858</v>
      </c>
      <c r="C353" s="3">
        <v>2</v>
      </c>
      <c r="D353" s="3">
        <v>2</v>
      </c>
      <c r="E353" s="3" t="s">
        <v>1183</v>
      </c>
    </row>
    <row r="354" spans="1:5" x14ac:dyDescent="0.3">
      <c r="A354" s="3">
        <v>35</v>
      </c>
      <c r="B354" s="3" t="s">
        <v>925</v>
      </c>
      <c r="C354" s="3">
        <v>1</v>
      </c>
      <c r="D354" s="3">
        <v>1</v>
      </c>
      <c r="E354" s="3" t="s">
        <v>1183</v>
      </c>
    </row>
    <row r="355" spans="1:5" x14ac:dyDescent="0.3">
      <c r="A355" s="3">
        <v>36</v>
      </c>
      <c r="B355" s="3" t="s">
        <v>322</v>
      </c>
      <c r="C355" s="3">
        <v>1</v>
      </c>
      <c r="D355" s="3">
        <v>1</v>
      </c>
      <c r="E355" s="3" t="s">
        <v>1183</v>
      </c>
    </row>
    <row r="356" spans="1:5" x14ac:dyDescent="0.3">
      <c r="A356" s="3">
        <v>36</v>
      </c>
      <c r="B356" s="3" t="s">
        <v>310</v>
      </c>
      <c r="C356" s="3">
        <v>2</v>
      </c>
      <c r="D356" s="3">
        <v>2</v>
      </c>
      <c r="E356" s="3" t="s">
        <v>1183</v>
      </c>
    </row>
    <row r="357" spans="1:5" x14ac:dyDescent="0.3">
      <c r="A357" s="3">
        <v>36</v>
      </c>
      <c r="B357" s="3" t="s">
        <v>483</v>
      </c>
      <c r="C357" s="3">
        <v>2</v>
      </c>
      <c r="D357" s="3">
        <v>3</v>
      </c>
      <c r="E357" s="3" t="s">
        <v>1184</v>
      </c>
    </row>
    <row r="358" spans="1:5" x14ac:dyDescent="0.3">
      <c r="A358" s="3">
        <v>36</v>
      </c>
      <c r="B358" s="3" t="s">
        <v>328</v>
      </c>
      <c r="C358" s="3">
        <v>1</v>
      </c>
      <c r="D358" s="3">
        <v>3</v>
      </c>
      <c r="E358" s="3" t="s">
        <v>1184</v>
      </c>
    </row>
    <row r="359" spans="1:5" x14ac:dyDescent="0.3">
      <c r="A359" s="3">
        <v>36</v>
      </c>
      <c r="B359" s="3" t="s">
        <v>352</v>
      </c>
      <c r="C359" s="3">
        <v>1</v>
      </c>
      <c r="D359" s="3">
        <v>1</v>
      </c>
      <c r="E359" s="3" t="s">
        <v>1183</v>
      </c>
    </row>
    <row r="360" spans="1:5" x14ac:dyDescent="0.3">
      <c r="A360" s="3">
        <v>36</v>
      </c>
      <c r="B360" s="3" t="s">
        <v>430</v>
      </c>
      <c r="C360" s="3">
        <v>1</v>
      </c>
      <c r="D360" s="3">
        <v>1</v>
      </c>
      <c r="E360" s="3" t="s">
        <v>1183</v>
      </c>
    </row>
    <row r="361" spans="1:5" x14ac:dyDescent="0.3">
      <c r="A361" s="3">
        <v>36</v>
      </c>
      <c r="B361" s="3" t="s">
        <v>292</v>
      </c>
      <c r="C361" s="3">
        <v>2</v>
      </c>
      <c r="D361" s="3">
        <v>2</v>
      </c>
      <c r="E361" s="3" t="s">
        <v>1183</v>
      </c>
    </row>
    <row r="362" spans="1:5" x14ac:dyDescent="0.3">
      <c r="A362" s="3">
        <v>36</v>
      </c>
      <c r="B362" s="3" t="s">
        <v>364</v>
      </c>
      <c r="C362" s="3">
        <v>4</v>
      </c>
      <c r="D362" s="3">
        <v>4</v>
      </c>
      <c r="E362" s="3" t="s">
        <v>1183</v>
      </c>
    </row>
    <row r="363" spans="1:5" x14ac:dyDescent="0.3">
      <c r="A363" s="3">
        <v>36</v>
      </c>
      <c r="B363" s="3" t="s">
        <v>412</v>
      </c>
      <c r="C363" s="3">
        <v>4</v>
      </c>
      <c r="D363" s="3">
        <v>4</v>
      </c>
      <c r="E363" s="3" t="s">
        <v>1183</v>
      </c>
    </row>
    <row r="364" spans="1:5" x14ac:dyDescent="0.3">
      <c r="A364" s="3">
        <v>36</v>
      </c>
      <c r="B364" s="3" t="s">
        <v>487</v>
      </c>
      <c r="C364" s="3">
        <v>4</v>
      </c>
      <c r="D364" s="3">
        <v>4</v>
      </c>
      <c r="E364" s="3" t="s">
        <v>1183</v>
      </c>
    </row>
    <row r="365" spans="1:5" x14ac:dyDescent="0.3">
      <c r="A365" s="3">
        <v>37</v>
      </c>
      <c r="B365" s="3" t="s">
        <v>553</v>
      </c>
      <c r="C365" s="3">
        <v>1</v>
      </c>
      <c r="D365" s="3">
        <v>1</v>
      </c>
      <c r="E365" s="3" t="s">
        <v>1183</v>
      </c>
    </row>
    <row r="366" spans="1:5" x14ac:dyDescent="0.3">
      <c r="A366" s="3">
        <v>37</v>
      </c>
      <c r="B366" s="3" t="s">
        <v>559</v>
      </c>
      <c r="C366" s="3">
        <v>4</v>
      </c>
      <c r="D366" s="3">
        <v>4</v>
      </c>
      <c r="E366" s="3" t="s">
        <v>1183</v>
      </c>
    </row>
    <row r="367" spans="1:5" x14ac:dyDescent="0.3">
      <c r="A367" s="3">
        <v>37</v>
      </c>
      <c r="B367" s="3" t="s">
        <v>638</v>
      </c>
      <c r="C367" s="3">
        <v>1</v>
      </c>
      <c r="D367" s="3">
        <v>1</v>
      </c>
      <c r="E367" s="3" t="s">
        <v>1183</v>
      </c>
    </row>
    <row r="368" spans="1:5" x14ac:dyDescent="0.3">
      <c r="A368" s="3">
        <v>37</v>
      </c>
      <c r="B368" s="3" t="s">
        <v>682</v>
      </c>
      <c r="C368" s="3">
        <v>2</v>
      </c>
      <c r="D368" s="3">
        <v>2</v>
      </c>
      <c r="E368" s="3" t="s">
        <v>1183</v>
      </c>
    </row>
    <row r="369" spans="1:5" x14ac:dyDescent="0.3">
      <c r="A369" s="3">
        <v>37</v>
      </c>
      <c r="B369" s="3" t="s">
        <v>666</v>
      </c>
      <c r="C369" s="3">
        <v>4</v>
      </c>
      <c r="D369" s="3">
        <v>4</v>
      </c>
      <c r="E369" s="3" t="s">
        <v>1183</v>
      </c>
    </row>
    <row r="370" spans="1:5" x14ac:dyDescent="0.3">
      <c r="A370" s="3">
        <v>37</v>
      </c>
      <c r="B370" s="3" t="s">
        <v>583</v>
      </c>
      <c r="C370" s="3">
        <v>3</v>
      </c>
      <c r="D370" s="3">
        <v>3</v>
      </c>
      <c r="E370" s="3" t="s">
        <v>1183</v>
      </c>
    </row>
    <row r="371" spans="1:5" x14ac:dyDescent="0.3">
      <c r="A371" s="3">
        <v>37</v>
      </c>
      <c r="B371" s="3" t="s">
        <v>547</v>
      </c>
      <c r="C371" s="3">
        <v>2</v>
      </c>
      <c r="D371" s="11">
        <v>2</v>
      </c>
      <c r="E371" s="11" t="s">
        <v>1183</v>
      </c>
    </row>
    <row r="372" spans="1:5" x14ac:dyDescent="0.3">
      <c r="A372" s="3">
        <v>37</v>
      </c>
      <c r="B372" s="3" t="s">
        <v>523</v>
      </c>
      <c r="C372" s="3">
        <v>4</v>
      </c>
      <c r="D372" s="11">
        <v>4</v>
      </c>
      <c r="E372" s="11" t="s">
        <v>1183</v>
      </c>
    </row>
    <row r="373" spans="1:5" x14ac:dyDescent="0.3">
      <c r="A373" s="3">
        <v>37</v>
      </c>
      <c r="B373" s="3" t="s">
        <v>511</v>
      </c>
      <c r="C373" s="3">
        <v>2</v>
      </c>
      <c r="D373" s="11">
        <v>2</v>
      </c>
      <c r="E373" s="11" t="s">
        <v>1183</v>
      </c>
    </row>
    <row r="374" spans="1:5" x14ac:dyDescent="0.3">
      <c r="A374" s="3">
        <v>37</v>
      </c>
      <c r="B374" s="3" t="s">
        <v>718</v>
      </c>
      <c r="C374" s="3">
        <v>3</v>
      </c>
      <c r="D374" s="11">
        <v>3</v>
      </c>
      <c r="E374" s="11" t="s">
        <v>1183</v>
      </c>
    </row>
    <row r="375" spans="1:5" x14ac:dyDescent="0.3">
      <c r="A375" s="3">
        <v>38</v>
      </c>
      <c r="B375" s="3" t="s">
        <v>901</v>
      </c>
      <c r="C375" s="3">
        <v>2</v>
      </c>
      <c r="D375" s="11">
        <v>4</v>
      </c>
      <c r="E375" s="11" t="s">
        <v>1184</v>
      </c>
    </row>
    <row r="376" spans="1:5" x14ac:dyDescent="0.3">
      <c r="A376" s="3">
        <v>38</v>
      </c>
      <c r="B376" s="3" t="s">
        <v>941</v>
      </c>
      <c r="C376" s="3">
        <v>4</v>
      </c>
      <c r="D376" s="11">
        <v>4</v>
      </c>
      <c r="E376" s="11" t="s">
        <v>1183</v>
      </c>
    </row>
    <row r="377" spans="1:5" x14ac:dyDescent="0.3">
      <c r="A377" s="3">
        <v>38</v>
      </c>
      <c r="B377" s="3" t="s">
        <v>895</v>
      </c>
      <c r="C377" s="3">
        <v>2</v>
      </c>
      <c r="D377" s="11">
        <v>3</v>
      </c>
      <c r="E377" s="11" t="s">
        <v>1184</v>
      </c>
    </row>
    <row r="378" spans="1:5" x14ac:dyDescent="0.3">
      <c r="A378" s="3">
        <v>38</v>
      </c>
      <c r="B378" s="3" t="s">
        <v>840</v>
      </c>
      <c r="C378" s="3">
        <v>4</v>
      </c>
      <c r="D378" s="11">
        <v>1</v>
      </c>
      <c r="E378" s="11" t="s">
        <v>1184</v>
      </c>
    </row>
    <row r="379" spans="1:5" x14ac:dyDescent="0.3">
      <c r="A379" s="3">
        <v>38</v>
      </c>
      <c r="B379" s="3" t="s">
        <v>752</v>
      </c>
      <c r="C379" s="3">
        <v>2</v>
      </c>
      <c r="D379" s="11">
        <v>1</v>
      </c>
      <c r="E379" s="11" t="s">
        <v>1184</v>
      </c>
    </row>
    <row r="380" spans="1:5" x14ac:dyDescent="0.3">
      <c r="A380" s="3">
        <v>38</v>
      </c>
      <c r="B380" s="3" t="s">
        <v>877</v>
      </c>
      <c r="C380" s="3">
        <v>4</v>
      </c>
      <c r="D380" s="11">
        <v>4</v>
      </c>
      <c r="E380" s="11" t="s">
        <v>1183</v>
      </c>
    </row>
    <row r="381" spans="1:5" x14ac:dyDescent="0.3">
      <c r="A381" s="3">
        <v>38</v>
      </c>
      <c r="B381" s="3" t="s">
        <v>734</v>
      </c>
      <c r="C381" s="3">
        <v>2</v>
      </c>
      <c r="D381" s="11">
        <v>3</v>
      </c>
      <c r="E381" s="11" t="s">
        <v>1184</v>
      </c>
    </row>
    <row r="382" spans="1:5" x14ac:dyDescent="0.3">
      <c r="A382" s="3">
        <v>38</v>
      </c>
      <c r="B382" s="3" t="s">
        <v>822</v>
      </c>
      <c r="C382" s="3">
        <v>4</v>
      </c>
      <c r="D382" s="11">
        <v>3</v>
      </c>
      <c r="E382" s="11" t="s">
        <v>1184</v>
      </c>
    </row>
    <row r="383" spans="1:5" x14ac:dyDescent="0.3">
      <c r="A383" s="3">
        <v>38</v>
      </c>
      <c r="B383" s="3" t="s">
        <v>834</v>
      </c>
      <c r="C383" s="3">
        <v>2</v>
      </c>
      <c r="D383" s="11">
        <v>1</v>
      </c>
      <c r="E383" s="11" t="s">
        <v>1184</v>
      </c>
    </row>
    <row r="384" spans="1:5" x14ac:dyDescent="0.3">
      <c r="A384" s="3">
        <v>38</v>
      </c>
      <c r="B384" s="3" t="s">
        <v>810</v>
      </c>
      <c r="C384" s="3">
        <v>1</v>
      </c>
      <c r="D384" s="11">
        <v>4</v>
      </c>
      <c r="E384" s="11" t="s">
        <v>1184</v>
      </c>
    </row>
  </sheetData>
  <phoneticPr fontId="2" type="noConversion"/>
  <conditionalFormatting sqref="A5:E1048576">
    <cfRule type="expression" dxfId="35" priority="1">
      <formula>AND($A5&lt;&gt;"",$D5="")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61"/>
  <sheetViews>
    <sheetView workbookViewId="0">
      <pane ySplit="1" topLeftCell="A2" activePane="bottomLeft" state="frozen"/>
      <selection pane="bottomLeft" activeCell="C12" sqref="C12"/>
    </sheetView>
  </sheetViews>
  <sheetFormatPr defaultColWidth="9.875" defaultRowHeight="16.5" x14ac:dyDescent="0.3"/>
  <cols>
    <col min="1" max="1" width="6.125" style="3" bestFit="1" customWidth="1"/>
    <col min="2" max="2" width="33.5" style="3" bestFit="1" customWidth="1"/>
    <col min="3" max="16384" width="9.875" style="3"/>
  </cols>
  <sheetData>
    <row r="1" spans="1:2" ht="35.1" customHeight="1" x14ac:dyDescent="0.3">
      <c r="A1" s="3" t="s">
        <v>31</v>
      </c>
      <c r="B1" s="3" t="s">
        <v>962</v>
      </c>
    </row>
    <row r="2" spans="1:2" x14ac:dyDescent="0.3">
      <c r="A2" s="3">
        <v>10101</v>
      </c>
      <c r="B2" s="3" t="s">
        <v>1178</v>
      </c>
    </row>
    <row r="3" spans="1:2" x14ac:dyDescent="0.3">
      <c r="A3" s="3">
        <v>10102</v>
      </c>
      <c r="B3" s="3" t="s">
        <v>964</v>
      </c>
    </row>
    <row r="4" spans="1:2" x14ac:dyDescent="0.3">
      <c r="A4" s="3">
        <v>10103</v>
      </c>
    </row>
    <row r="5" spans="1:2" x14ac:dyDescent="0.3">
      <c r="A5" s="3">
        <v>10104</v>
      </c>
    </row>
    <row r="6" spans="1:2" x14ac:dyDescent="0.3">
      <c r="A6" s="3">
        <v>10105</v>
      </c>
      <c r="B6" s="3" t="s">
        <v>965</v>
      </c>
    </row>
    <row r="7" spans="1:2" x14ac:dyDescent="0.3">
      <c r="A7" s="3">
        <v>10106</v>
      </c>
      <c r="B7" s="3" t="s">
        <v>966</v>
      </c>
    </row>
    <row r="8" spans="1:2" x14ac:dyDescent="0.3">
      <c r="A8" s="3">
        <v>10107</v>
      </c>
    </row>
    <row r="9" spans="1:2" x14ac:dyDescent="0.3">
      <c r="A9" s="3">
        <v>10108</v>
      </c>
      <c r="B9" s="3" t="s">
        <v>746</v>
      </c>
    </row>
    <row r="10" spans="1:2" x14ac:dyDescent="0.3">
      <c r="A10" s="3">
        <v>10109</v>
      </c>
      <c r="B10" s="3" t="s">
        <v>376</v>
      </c>
    </row>
    <row r="11" spans="1:2" x14ac:dyDescent="0.3">
      <c r="A11" s="3">
        <v>10110</v>
      </c>
      <c r="B11" s="3" t="s">
        <v>967</v>
      </c>
    </row>
    <row r="12" spans="1:2" x14ac:dyDescent="0.3">
      <c r="A12" s="3">
        <v>10201</v>
      </c>
      <c r="B12" s="3" t="s">
        <v>968</v>
      </c>
    </row>
    <row r="13" spans="1:2" x14ac:dyDescent="0.3">
      <c r="A13" s="3">
        <v>10202</v>
      </c>
    </row>
    <row r="14" spans="1:2" x14ac:dyDescent="0.3">
      <c r="A14" s="3">
        <v>10203</v>
      </c>
    </row>
    <row r="15" spans="1:2" x14ac:dyDescent="0.3">
      <c r="A15" s="3">
        <v>10204</v>
      </c>
      <c r="B15" s="3" t="s">
        <v>430</v>
      </c>
    </row>
    <row r="16" spans="1:2" x14ac:dyDescent="0.3">
      <c r="A16" s="3">
        <v>10205</v>
      </c>
      <c r="B16" s="3" t="s">
        <v>588</v>
      </c>
    </row>
    <row r="17" spans="1:2" x14ac:dyDescent="0.3">
      <c r="A17" s="3">
        <v>10206</v>
      </c>
      <c r="B17" s="3" t="s">
        <v>969</v>
      </c>
    </row>
    <row r="18" spans="1:2" x14ac:dyDescent="0.3">
      <c r="A18" s="3">
        <v>10207</v>
      </c>
      <c r="B18" s="3" t="s">
        <v>970</v>
      </c>
    </row>
    <row r="19" spans="1:2" x14ac:dyDescent="0.3">
      <c r="A19" s="3">
        <v>10208</v>
      </c>
      <c r="B19" s="3" t="s">
        <v>971</v>
      </c>
    </row>
    <row r="20" spans="1:2" x14ac:dyDescent="0.3">
      <c r="A20" s="3">
        <v>10209</v>
      </c>
      <c r="B20" s="3" t="s">
        <v>972</v>
      </c>
    </row>
    <row r="21" spans="1:2" x14ac:dyDescent="0.3">
      <c r="A21" s="3">
        <v>10210</v>
      </c>
    </row>
    <row r="22" spans="1:2" x14ac:dyDescent="0.3">
      <c r="A22" s="3">
        <v>20101</v>
      </c>
    </row>
    <row r="23" spans="1:2" x14ac:dyDescent="0.3">
      <c r="A23" s="3">
        <v>20102</v>
      </c>
    </row>
    <row r="24" spans="1:2" x14ac:dyDescent="0.3">
      <c r="A24" s="3">
        <v>20103</v>
      </c>
      <c r="B24" s="3" t="s">
        <v>973</v>
      </c>
    </row>
    <row r="25" spans="1:2" x14ac:dyDescent="0.3">
      <c r="A25" s="3">
        <v>20104</v>
      </c>
    </row>
    <row r="26" spans="1:2" x14ac:dyDescent="0.3">
      <c r="A26" s="3">
        <v>20105</v>
      </c>
    </row>
    <row r="27" spans="1:2" x14ac:dyDescent="0.3">
      <c r="A27" s="3">
        <v>20106</v>
      </c>
      <c r="B27" s="3" t="s">
        <v>974</v>
      </c>
    </row>
    <row r="28" spans="1:2" x14ac:dyDescent="0.3">
      <c r="A28" s="3">
        <v>20107</v>
      </c>
      <c r="B28" s="3" t="s">
        <v>304</v>
      </c>
    </row>
    <row r="29" spans="1:2" x14ac:dyDescent="0.3">
      <c r="A29" s="3">
        <v>20108</v>
      </c>
    </row>
    <row r="30" spans="1:2" x14ac:dyDescent="0.3">
      <c r="A30" s="3">
        <v>20109</v>
      </c>
      <c r="B30" s="3" t="s">
        <v>975</v>
      </c>
    </row>
    <row r="31" spans="1:2" x14ac:dyDescent="0.3">
      <c r="A31" s="3">
        <v>20110</v>
      </c>
    </row>
    <row r="32" spans="1:2" x14ac:dyDescent="0.3">
      <c r="A32" s="3">
        <v>20201</v>
      </c>
      <c r="B32" s="3" t="s">
        <v>976</v>
      </c>
    </row>
    <row r="33" spans="1:2" x14ac:dyDescent="0.3">
      <c r="A33" s="3">
        <v>20202</v>
      </c>
    </row>
    <row r="34" spans="1:2" x14ac:dyDescent="0.3">
      <c r="A34" s="3">
        <v>20203</v>
      </c>
      <c r="B34" s="3" t="s">
        <v>977</v>
      </c>
    </row>
    <row r="35" spans="1:2" x14ac:dyDescent="0.3">
      <c r="A35" s="3">
        <v>20204</v>
      </c>
    </row>
    <row r="36" spans="1:2" x14ac:dyDescent="0.3">
      <c r="A36" s="3">
        <v>20205</v>
      </c>
      <c r="B36" s="3" t="s">
        <v>978</v>
      </c>
    </row>
    <row r="37" spans="1:2" x14ac:dyDescent="0.3">
      <c r="A37" s="3">
        <v>20206</v>
      </c>
      <c r="B37" s="3" t="s">
        <v>979</v>
      </c>
    </row>
    <row r="38" spans="1:2" x14ac:dyDescent="0.3">
      <c r="A38" s="3">
        <v>20207</v>
      </c>
      <c r="B38" s="3" t="s">
        <v>980</v>
      </c>
    </row>
    <row r="39" spans="1:2" x14ac:dyDescent="0.3">
      <c r="A39" s="3">
        <v>20208</v>
      </c>
    </row>
    <row r="40" spans="1:2" x14ac:dyDescent="0.3">
      <c r="A40" s="3">
        <v>20209</v>
      </c>
    </row>
    <row r="41" spans="1:2" x14ac:dyDescent="0.3">
      <c r="A41" s="3">
        <v>20210</v>
      </c>
      <c r="B41" s="3" t="s">
        <v>981</v>
      </c>
    </row>
    <row r="42" spans="1:2" x14ac:dyDescent="0.3">
      <c r="A42" s="3">
        <v>30101</v>
      </c>
      <c r="B42" s="3" t="s">
        <v>571</v>
      </c>
    </row>
    <row r="43" spans="1:2" x14ac:dyDescent="0.3">
      <c r="A43" s="3">
        <v>30102</v>
      </c>
    </row>
    <row r="44" spans="1:2" x14ac:dyDescent="0.3">
      <c r="A44" s="3">
        <v>30103</v>
      </c>
      <c r="B44" s="3" t="s">
        <v>394</v>
      </c>
    </row>
    <row r="45" spans="1:2" x14ac:dyDescent="0.3">
      <c r="A45" s="3">
        <v>30104</v>
      </c>
      <c r="B45" s="3" t="s">
        <v>982</v>
      </c>
    </row>
    <row r="46" spans="1:2" x14ac:dyDescent="0.3">
      <c r="A46" s="3">
        <v>30105</v>
      </c>
    </row>
    <row r="47" spans="1:2" x14ac:dyDescent="0.3">
      <c r="A47" s="3">
        <v>30106</v>
      </c>
      <c r="B47" s="3" t="s">
        <v>983</v>
      </c>
    </row>
    <row r="48" spans="1:2" x14ac:dyDescent="0.3">
      <c r="A48" s="3">
        <v>30107</v>
      </c>
    </row>
    <row r="49" spans="1:2" x14ac:dyDescent="0.3">
      <c r="A49" s="3">
        <v>30108</v>
      </c>
    </row>
    <row r="50" spans="1:2" x14ac:dyDescent="0.3">
      <c r="A50" s="3">
        <v>30109</v>
      </c>
      <c r="B50" s="3" t="s">
        <v>984</v>
      </c>
    </row>
    <row r="51" spans="1:2" x14ac:dyDescent="0.3">
      <c r="A51" s="3">
        <v>30110</v>
      </c>
    </row>
    <row r="52" spans="1:2" x14ac:dyDescent="0.3">
      <c r="A52" s="3">
        <v>30201</v>
      </c>
    </row>
    <row r="53" spans="1:2" x14ac:dyDescent="0.3">
      <c r="A53" s="3">
        <v>30202</v>
      </c>
      <c r="B53" s="3" t="s">
        <v>985</v>
      </c>
    </row>
    <row r="54" spans="1:2" x14ac:dyDescent="0.3">
      <c r="A54" s="3">
        <v>30203</v>
      </c>
    </row>
    <row r="55" spans="1:2" x14ac:dyDescent="0.3">
      <c r="A55" s="3">
        <v>30204</v>
      </c>
    </row>
    <row r="56" spans="1:2" x14ac:dyDescent="0.3">
      <c r="A56" s="3">
        <v>30205</v>
      </c>
    </row>
    <row r="57" spans="1:2" x14ac:dyDescent="0.3">
      <c r="A57" s="3">
        <v>30206</v>
      </c>
    </row>
    <row r="58" spans="1:2" x14ac:dyDescent="0.3">
      <c r="A58" s="3">
        <v>30207</v>
      </c>
      <c r="B58" s="3" t="s">
        <v>986</v>
      </c>
    </row>
    <row r="59" spans="1:2" x14ac:dyDescent="0.3">
      <c r="A59" s="3">
        <v>30208</v>
      </c>
    </row>
    <row r="60" spans="1:2" x14ac:dyDescent="0.3">
      <c r="A60" s="3">
        <v>30209</v>
      </c>
      <c r="B60" s="3" t="s">
        <v>987</v>
      </c>
    </row>
    <row r="61" spans="1:2" x14ac:dyDescent="0.3">
      <c r="A61" s="3">
        <v>30210</v>
      </c>
      <c r="B61" s="3" t="s">
        <v>988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0"/>
  <sheetViews>
    <sheetView zoomScale="85" zoomScaleNormal="85" workbookViewId="0">
      <pane ySplit="1" topLeftCell="A2" activePane="bottomLeft" state="frozen"/>
      <selection pane="bottomLeft" activeCell="I1" sqref="F1:I1048576"/>
    </sheetView>
  </sheetViews>
  <sheetFormatPr defaultColWidth="8.625" defaultRowHeight="16.5" x14ac:dyDescent="0.3"/>
  <cols>
    <col min="1" max="2" width="6.875" style="3" bestFit="1" customWidth="1"/>
    <col min="3" max="3" width="17" style="3" bestFit="1" customWidth="1"/>
    <col min="4" max="4" width="51.375" style="3" bestFit="1" customWidth="1"/>
    <col min="5" max="5" width="16.125" style="3" bestFit="1" customWidth="1"/>
    <col min="6" max="6" width="30.625" style="3" bestFit="1" customWidth="1"/>
    <col min="7" max="8" width="8.625" style="3" hidden="1" customWidth="1"/>
    <col min="9" max="16384" width="8.625" style="3"/>
  </cols>
  <sheetData>
    <row r="1" spans="1:8" ht="34.5" customHeight="1" x14ac:dyDescent="0.3">
      <c r="A1" s="3" t="s">
        <v>267</v>
      </c>
      <c r="B1" s="3" t="s">
        <v>31</v>
      </c>
      <c r="C1" s="3" t="s">
        <v>989</v>
      </c>
      <c r="D1" s="3" t="s">
        <v>990</v>
      </c>
      <c r="E1" s="3" t="s">
        <v>991</v>
      </c>
      <c r="F1" s="3" t="s">
        <v>992</v>
      </c>
      <c r="G1" s="3" t="s">
        <v>1145</v>
      </c>
      <c r="H1" s="3" t="s">
        <v>1146</v>
      </c>
    </row>
    <row r="2" spans="1:8" x14ac:dyDescent="0.3">
      <c r="A2" s="3">
        <v>1</v>
      </c>
      <c r="B2" s="3">
        <v>10101</v>
      </c>
      <c r="C2" s="3" t="s">
        <v>993</v>
      </c>
      <c r="D2" s="3" t="s">
        <v>994</v>
      </c>
      <c r="E2" s="10">
        <v>44792.614583333336</v>
      </c>
      <c r="G2" s="3" t="b">
        <f>LEFT(표7[[#This Row],[학번]],3) = 번호&amp;""</f>
        <v>0</v>
      </c>
      <c r="H2" s="3" t="b">
        <f>표7[[#This Row],[학번]]&amp;""=번호&amp;""</f>
        <v>0</v>
      </c>
    </row>
    <row r="3" spans="1:8" x14ac:dyDescent="0.3">
      <c r="A3" s="3">
        <v>2</v>
      </c>
      <c r="B3" s="3">
        <v>10101</v>
      </c>
      <c r="C3" s="3" t="s">
        <v>995</v>
      </c>
      <c r="D3" s="3" t="s">
        <v>996</v>
      </c>
      <c r="E3" s="10">
        <v>44793.63958333333</v>
      </c>
      <c r="F3" s="3" t="s">
        <v>997</v>
      </c>
      <c r="G3" s="3" t="b">
        <f>LEFT(표7[[#This Row],[학번]],3) = 번호&amp;""</f>
        <v>0</v>
      </c>
      <c r="H3" s="3" t="b">
        <f>표7[[#This Row],[학번]]&amp;""=번호&amp;""</f>
        <v>0</v>
      </c>
    </row>
    <row r="4" spans="1:8" x14ac:dyDescent="0.3">
      <c r="A4" s="3">
        <v>3</v>
      </c>
      <c r="B4" s="3">
        <v>10102</v>
      </c>
      <c r="C4" s="3" t="s">
        <v>998</v>
      </c>
      <c r="D4" s="3" t="s">
        <v>999</v>
      </c>
      <c r="E4" s="10">
        <v>44796.719444444447</v>
      </c>
      <c r="G4" s="3" t="b">
        <f>LEFT(표7[[#This Row],[학번]],3) = 번호&amp;""</f>
        <v>0</v>
      </c>
      <c r="H4" s="3" t="b">
        <f>표7[[#This Row],[학번]]&amp;""=번호&amp;""</f>
        <v>0</v>
      </c>
    </row>
    <row r="5" spans="1:8" x14ac:dyDescent="0.3">
      <c r="A5" s="3">
        <v>4</v>
      </c>
      <c r="B5" s="3">
        <v>20103</v>
      </c>
      <c r="C5" s="3" t="s">
        <v>1000</v>
      </c>
      <c r="D5" s="3" t="s">
        <v>1001</v>
      </c>
      <c r="E5" s="10">
        <v>44796.457638888889</v>
      </c>
      <c r="G5" s="3" t="b">
        <f>LEFT(표7[[#This Row],[학번]],3) = 번호&amp;""</f>
        <v>0</v>
      </c>
      <c r="H5" s="3" t="b">
        <f>표7[[#This Row],[학번]]&amp;""=번호&amp;""</f>
        <v>0</v>
      </c>
    </row>
    <row r="6" spans="1:8" x14ac:dyDescent="0.3">
      <c r="A6" s="3">
        <v>5</v>
      </c>
      <c r="B6" s="3">
        <v>20202</v>
      </c>
      <c r="C6" s="3" t="s">
        <v>1002</v>
      </c>
      <c r="D6" s="3" t="s">
        <v>1003</v>
      </c>
      <c r="E6" s="10">
        <v>44797.50277777778</v>
      </c>
      <c r="G6" s="3" t="b">
        <f>LEFT(표7[[#This Row],[학번]],3) = 번호&amp;""</f>
        <v>0</v>
      </c>
      <c r="H6" s="3" t="b">
        <f>표7[[#This Row],[학번]]&amp;""=번호&amp;""</f>
        <v>0</v>
      </c>
    </row>
    <row r="7" spans="1:8" x14ac:dyDescent="0.3">
      <c r="A7" s="3">
        <v>6</v>
      </c>
      <c r="B7" s="3">
        <v>10208</v>
      </c>
      <c r="C7" s="3" t="s">
        <v>1004</v>
      </c>
      <c r="D7" s="3" t="s">
        <v>1005</v>
      </c>
      <c r="E7" s="10">
        <v>44798.57916666667</v>
      </c>
      <c r="G7" s="3" t="b">
        <f>LEFT(표7[[#This Row],[학번]],3) = 번호&amp;""</f>
        <v>0</v>
      </c>
      <c r="H7" s="3" t="b">
        <f>표7[[#This Row],[학번]]&amp;""=번호&amp;""</f>
        <v>0</v>
      </c>
    </row>
    <row r="8" spans="1:8" x14ac:dyDescent="0.3">
      <c r="A8" s="3">
        <v>7</v>
      </c>
      <c r="B8" s="3">
        <v>10208</v>
      </c>
      <c r="C8" s="3" t="s">
        <v>1006</v>
      </c>
      <c r="D8" s="3" t="s">
        <v>1007</v>
      </c>
      <c r="E8" s="10">
        <v>44799.383333333331</v>
      </c>
      <c r="F8" s="3" t="s">
        <v>1008</v>
      </c>
      <c r="G8" s="3" t="b">
        <f>LEFT(표7[[#This Row],[학번]],3) = 번호&amp;""</f>
        <v>0</v>
      </c>
      <c r="H8" s="3" t="b">
        <f>표7[[#This Row],[학번]]&amp;""=번호&amp;""</f>
        <v>0</v>
      </c>
    </row>
    <row r="9" spans="1:8" x14ac:dyDescent="0.3">
      <c r="A9" s="3">
        <v>8</v>
      </c>
      <c r="B9" s="3">
        <v>10208</v>
      </c>
      <c r="C9" s="3" t="s">
        <v>1009</v>
      </c>
      <c r="D9" s="3" t="s">
        <v>1010</v>
      </c>
      <c r="E9" s="10">
        <v>44801.759722222225</v>
      </c>
      <c r="F9" s="3" t="s">
        <v>1011</v>
      </c>
      <c r="G9" s="3" t="b">
        <f>LEFT(표7[[#This Row],[학번]],3) = 번호&amp;""</f>
        <v>0</v>
      </c>
      <c r="H9" s="3" t="b">
        <f>표7[[#This Row],[학번]]&amp;""=번호&amp;""</f>
        <v>0</v>
      </c>
    </row>
    <row r="10" spans="1:8" x14ac:dyDescent="0.3">
      <c r="A10" s="3">
        <v>9</v>
      </c>
      <c r="B10" s="3">
        <v>30210</v>
      </c>
      <c r="C10" s="3" t="s">
        <v>1012</v>
      </c>
      <c r="D10" s="3" t="s">
        <v>1013</v>
      </c>
      <c r="E10" s="10">
        <v>44802.609722222223</v>
      </c>
      <c r="F10" s="3" t="s">
        <v>1014</v>
      </c>
      <c r="G10" s="3" t="b">
        <f>LEFT(표7[[#This Row],[학번]],3) = 번호&amp;""</f>
        <v>0</v>
      </c>
      <c r="H10" s="3" t="b">
        <f>표7[[#This Row],[학번]]&amp;""=번호&amp;""</f>
        <v>0</v>
      </c>
    </row>
  </sheetData>
  <phoneticPr fontId="2" type="noConversion"/>
  <conditionalFormatting sqref="A2:H1048576">
    <cfRule type="expression" dxfId="23" priority="1">
      <formula>$G2</formula>
    </cfRule>
    <cfRule type="expression" dxfId="22" priority="2">
      <formula>$H2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104"/>
  <sheetViews>
    <sheetView workbookViewId="0">
      <pane ySplit="1" topLeftCell="A85" activePane="bottomLeft" state="frozen"/>
      <selection pane="bottomLeft" activeCell="J103" sqref="J103"/>
    </sheetView>
  </sheetViews>
  <sheetFormatPr defaultRowHeight="16.5" x14ac:dyDescent="0.3"/>
  <cols>
    <col min="3" max="3" width="14.25" customWidth="1"/>
    <col min="4" max="4" width="16.125" customWidth="1"/>
    <col min="7" max="8" width="9.875" customWidth="1"/>
    <col min="10" max="10" width="14.875" customWidth="1"/>
  </cols>
  <sheetData>
    <row r="1" spans="1:10" ht="33.950000000000003" customHeight="1" x14ac:dyDescent="0.3">
      <c r="A1" s="3" t="s">
        <v>1015</v>
      </c>
      <c r="B1" s="3" t="s">
        <v>1016</v>
      </c>
      <c r="C1" s="3" t="s">
        <v>1017</v>
      </c>
      <c r="D1" s="3" t="s">
        <v>1018</v>
      </c>
      <c r="E1" s="3" t="s">
        <v>1019</v>
      </c>
      <c r="F1" s="3" t="s">
        <v>1020</v>
      </c>
      <c r="G1" s="3" t="s">
        <v>1021</v>
      </c>
      <c r="H1" s="3" t="s">
        <v>1022</v>
      </c>
      <c r="I1" s="3" t="s">
        <v>1023</v>
      </c>
      <c r="J1" s="3" t="s">
        <v>1024</v>
      </c>
    </row>
    <row r="2" spans="1:10" x14ac:dyDescent="0.3">
      <c r="A2" s="3" t="s">
        <v>1025</v>
      </c>
      <c r="B2" s="3" t="s">
        <v>1026</v>
      </c>
      <c r="C2" s="3">
        <v>1</v>
      </c>
      <c r="D2" s="3">
        <v>4</v>
      </c>
      <c r="E2" s="3">
        <v>2</v>
      </c>
      <c r="F2" s="3">
        <v>5</v>
      </c>
      <c r="G2" s="3">
        <v>1</v>
      </c>
      <c r="H2" s="3">
        <v>3</v>
      </c>
      <c r="I2" s="3">
        <v>1</v>
      </c>
      <c r="J2" s="3">
        <v>2</v>
      </c>
    </row>
    <row r="3" spans="1:10" x14ac:dyDescent="0.3">
      <c r="A3" s="3" t="s">
        <v>1027</v>
      </c>
      <c r="B3" s="3" t="s">
        <v>1026</v>
      </c>
      <c r="C3" s="3">
        <v>3</v>
      </c>
      <c r="D3" s="3">
        <v>1</v>
      </c>
      <c r="E3" s="3">
        <v>4</v>
      </c>
      <c r="F3" s="3">
        <v>1</v>
      </c>
      <c r="G3" s="3">
        <v>4</v>
      </c>
      <c r="H3" s="3">
        <v>5</v>
      </c>
      <c r="I3" s="3">
        <v>1</v>
      </c>
      <c r="J3" s="3">
        <v>4</v>
      </c>
    </row>
    <row r="4" spans="1:10" x14ac:dyDescent="0.3">
      <c r="A4" s="3" t="s">
        <v>1028</v>
      </c>
      <c r="B4" s="3" t="s">
        <v>1026</v>
      </c>
      <c r="C4" s="3">
        <v>2</v>
      </c>
      <c r="D4" s="3">
        <v>5</v>
      </c>
      <c r="E4" s="3">
        <v>3</v>
      </c>
      <c r="F4" s="3">
        <v>4</v>
      </c>
      <c r="G4" s="3">
        <v>3</v>
      </c>
      <c r="H4" s="3">
        <v>5</v>
      </c>
      <c r="I4" s="3">
        <v>1</v>
      </c>
      <c r="J4" s="3">
        <v>4</v>
      </c>
    </row>
    <row r="5" spans="1:10" x14ac:dyDescent="0.3">
      <c r="A5" s="3" t="s">
        <v>1029</v>
      </c>
      <c r="B5" s="3" t="s">
        <v>1026</v>
      </c>
      <c r="C5" s="3">
        <v>4</v>
      </c>
      <c r="D5" s="3">
        <v>1</v>
      </c>
      <c r="E5" s="3">
        <v>4</v>
      </c>
      <c r="F5" s="3">
        <v>3</v>
      </c>
      <c r="G5" s="3">
        <v>4</v>
      </c>
      <c r="H5" s="3">
        <v>2</v>
      </c>
      <c r="I5" s="3">
        <v>4</v>
      </c>
      <c r="J5" s="3">
        <v>1</v>
      </c>
    </row>
    <row r="6" spans="1:10" x14ac:dyDescent="0.3">
      <c r="A6" s="3" t="s">
        <v>1030</v>
      </c>
      <c r="B6" s="3" t="s">
        <v>1031</v>
      </c>
      <c r="C6" s="3">
        <v>1</v>
      </c>
      <c r="D6" s="3">
        <v>3</v>
      </c>
      <c r="E6" s="3">
        <v>3</v>
      </c>
      <c r="F6" s="3">
        <v>5</v>
      </c>
      <c r="G6" s="3">
        <v>2</v>
      </c>
      <c r="H6" s="3">
        <v>4</v>
      </c>
      <c r="I6" s="3">
        <v>3</v>
      </c>
      <c r="J6" s="3">
        <v>1</v>
      </c>
    </row>
    <row r="7" spans="1:10" x14ac:dyDescent="0.3">
      <c r="A7" s="3" t="s">
        <v>1032</v>
      </c>
      <c r="B7" s="3" t="s">
        <v>1031</v>
      </c>
      <c r="C7" s="3">
        <v>4</v>
      </c>
      <c r="D7" s="3">
        <v>1</v>
      </c>
      <c r="E7" s="3">
        <v>5</v>
      </c>
      <c r="F7" s="3">
        <v>3</v>
      </c>
      <c r="G7" s="3">
        <v>3</v>
      </c>
      <c r="H7" s="3">
        <v>4</v>
      </c>
      <c r="I7" s="3">
        <v>3</v>
      </c>
      <c r="J7" s="3">
        <v>3</v>
      </c>
    </row>
    <row r="8" spans="1:10" x14ac:dyDescent="0.3">
      <c r="A8" s="3" t="s">
        <v>1033</v>
      </c>
      <c r="B8" s="3" t="s">
        <v>1031</v>
      </c>
      <c r="C8" s="3">
        <v>2</v>
      </c>
      <c r="D8" s="3">
        <v>5</v>
      </c>
      <c r="E8" s="3">
        <v>1</v>
      </c>
      <c r="F8" s="3">
        <v>2</v>
      </c>
      <c r="G8" s="3">
        <v>4</v>
      </c>
      <c r="H8" s="3">
        <v>1</v>
      </c>
      <c r="I8" s="3">
        <v>4</v>
      </c>
      <c r="J8" s="3">
        <v>2</v>
      </c>
    </row>
    <row r="9" spans="1:10" x14ac:dyDescent="0.3">
      <c r="A9" s="3" t="s">
        <v>1034</v>
      </c>
      <c r="B9" s="3" t="s">
        <v>1031</v>
      </c>
      <c r="C9" s="3">
        <v>2</v>
      </c>
      <c r="D9" s="3">
        <v>4</v>
      </c>
      <c r="E9" s="3">
        <v>1</v>
      </c>
      <c r="F9" s="3">
        <v>1</v>
      </c>
      <c r="G9" s="3">
        <v>1</v>
      </c>
      <c r="H9" s="3">
        <v>1</v>
      </c>
      <c r="I9" s="3">
        <v>4</v>
      </c>
      <c r="J9" s="3">
        <v>4</v>
      </c>
    </row>
    <row r="10" spans="1:10" x14ac:dyDescent="0.3">
      <c r="A10" s="3" t="s">
        <v>1035</v>
      </c>
      <c r="B10" s="3" t="s">
        <v>1031</v>
      </c>
      <c r="C10" s="3">
        <v>4</v>
      </c>
      <c r="D10" s="3">
        <v>4</v>
      </c>
      <c r="E10" s="3">
        <v>3</v>
      </c>
      <c r="F10" s="3">
        <v>4</v>
      </c>
      <c r="G10" s="3">
        <v>4</v>
      </c>
      <c r="H10" s="3">
        <v>3</v>
      </c>
      <c r="I10" s="3">
        <v>4</v>
      </c>
      <c r="J10" s="3">
        <v>5</v>
      </c>
    </row>
    <row r="11" spans="1:10" x14ac:dyDescent="0.3">
      <c r="A11" s="3" t="s">
        <v>1036</v>
      </c>
      <c r="B11" s="3" t="s">
        <v>1026</v>
      </c>
      <c r="C11" s="3">
        <v>5</v>
      </c>
      <c r="D11" s="3">
        <v>4</v>
      </c>
      <c r="E11" s="3">
        <v>2</v>
      </c>
      <c r="F11" s="3">
        <v>5</v>
      </c>
      <c r="G11" s="3">
        <v>3</v>
      </c>
      <c r="H11" s="3">
        <v>4</v>
      </c>
      <c r="I11" s="3">
        <v>2</v>
      </c>
      <c r="J11" s="3">
        <v>1</v>
      </c>
    </row>
    <row r="12" spans="1:10" x14ac:dyDescent="0.3">
      <c r="A12" s="3" t="s">
        <v>1037</v>
      </c>
      <c r="B12" s="3" t="s">
        <v>1026</v>
      </c>
      <c r="C12" s="3">
        <v>5</v>
      </c>
      <c r="D12" s="3">
        <v>1</v>
      </c>
      <c r="E12" s="3">
        <v>2</v>
      </c>
      <c r="F12" s="3">
        <v>4</v>
      </c>
      <c r="G12" s="3">
        <v>1</v>
      </c>
      <c r="H12" s="3">
        <v>2</v>
      </c>
      <c r="I12" s="3">
        <v>5</v>
      </c>
      <c r="J12" s="3">
        <v>1</v>
      </c>
    </row>
    <row r="13" spans="1:10" x14ac:dyDescent="0.3">
      <c r="A13" s="3" t="s">
        <v>1038</v>
      </c>
      <c r="B13" s="3" t="s">
        <v>1031</v>
      </c>
      <c r="C13" s="3">
        <v>3</v>
      </c>
      <c r="D13" s="3">
        <v>3</v>
      </c>
      <c r="E13" s="3">
        <v>5</v>
      </c>
      <c r="F13" s="3">
        <v>1</v>
      </c>
      <c r="G13" s="3">
        <v>1</v>
      </c>
      <c r="H13" s="3">
        <v>1</v>
      </c>
      <c r="I13" s="3">
        <v>2</v>
      </c>
      <c r="J13" s="3">
        <v>3</v>
      </c>
    </row>
    <row r="14" spans="1:10" x14ac:dyDescent="0.3">
      <c r="A14" s="3" t="s">
        <v>1039</v>
      </c>
      <c r="B14" s="3" t="s">
        <v>1031</v>
      </c>
      <c r="C14" s="3">
        <v>5</v>
      </c>
      <c r="D14" s="3">
        <v>1</v>
      </c>
      <c r="E14" s="3">
        <v>2</v>
      </c>
      <c r="F14" s="3">
        <v>2</v>
      </c>
      <c r="G14" s="3">
        <v>5</v>
      </c>
      <c r="H14" s="3">
        <v>2</v>
      </c>
      <c r="I14" s="3">
        <v>1</v>
      </c>
      <c r="J14" s="3">
        <v>3</v>
      </c>
    </row>
    <row r="15" spans="1:10" x14ac:dyDescent="0.3">
      <c r="A15" s="3" t="s">
        <v>1040</v>
      </c>
      <c r="B15" s="3" t="s">
        <v>1026</v>
      </c>
      <c r="C15" s="3">
        <v>3</v>
      </c>
      <c r="D15" s="3">
        <v>3</v>
      </c>
      <c r="E15" s="3">
        <v>5</v>
      </c>
      <c r="F15" s="3">
        <v>4</v>
      </c>
      <c r="G15" s="3">
        <v>1</v>
      </c>
      <c r="H15" s="3">
        <v>3</v>
      </c>
      <c r="I15" s="3">
        <v>1</v>
      </c>
      <c r="J15" s="3">
        <v>1</v>
      </c>
    </row>
    <row r="16" spans="1:10" x14ac:dyDescent="0.3">
      <c r="A16" s="3" t="s">
        <v>1041</v>
      </c>
      <c r="B16" s="3" t="s">
        <v>1031</v>
      </c>
      <c r="C16" s="3">
        <v>5</v>
      </c>
      <c r="D16" s="3">
        <v>3</v>
      </c>
      <c r="E16" s="3">
        <v>4</v>
      </c>
      <c r="F16" s="3">
        <v>5</v>
      </c>
      <c r="G16" s="3">
        <v>3</v>
      </c>
      <c r="H16" s="3">
        <v>1</v>
      </c>
      <c r="I16" s="3">
        <v>1</v>
      </c>
      <c r="J16" s="3">
        <v>2</v>
      </c>
    </row>
    <row r="17" spans="1:10" x14ac:dyDescent="0.3">
      <c r="A17" s="3" t="s">
        <v>1042</v>
      </c>
      <c r="B17" s="3" t="s">
        <v>1026</v>
      </c>
      <c r="C17" s="3">
        <v>5</v>
      </c>
      <c r="D17" s="3">
        <v>2</v>
      </c>
      <c r="E17" s="3">
        <v>5</v>
      </c>
      <c r="F17" s="3">
        <v>3</v>
      </c>
      <c r="G17" s="3">
        <v>4</v>
      </c>
      <c r="H17" s="3">
        <v>2</v>
      </c>
      <c r="I17" s="3">
        <v>5</v>
      </c>
      <c r="J17" s="3">
        <v>5</v>
      </c>
    </row>
    <row r="18" spans="1:10" x14ac:dyDescent="0.3">
      <c r="A18" s="3" t="s">
        <v>1043</v>
      </c>
      <c r="B18" s="3" t="s">
        <v>1031</v>
      </c>
      <c r="C18" s="3">
        <v>3</v>
      </c>
      <c r="D18" s="3">
        <v>1</v>
      </c>
      <c r="E18" s="3">
        <v>5</v>
      </c>
      <c r="F18" s="3">
        <v>1</v>
      </c>
      <c r="G18" s="3">
        <v>2</v>
      </c>
      <c r="H18" s="3">
        <v>2</v>
      </c>
      <c r="I18" s="3">
        <v>3</v>
      </c>
      <c r="J18" s="3">
        <v>4</v>
      </c>
    </row>
    <row r="19" spans="1:10" x14ac:dyDescent="0.3">
      <c r="A19" s="3" t="s">
        <v>1044</v>
      </c>
      <c r="B19" s="3" t="s">
        <v>1026</v>
      </c>
      <c r="C19" s="3">
        <v>1</v>
      </c>
      <c r="D19" s="3">
        <v>2</v>
      </c>
      <c r="E19" s="3">
        <v>3</v>
      </c>
      <c r="F19" s="3">
        <v>3</v>
      </c>
      <c r="G19" s="3">
        <v>3</v>
      </c>
      <c r="H19" s="3">
        <v>2</v>
      </c>
      <c r="I19" s="3">
        <v>2</v>
      </c>
      <c r="J19" s="3">
        <v>5</v>
      </c>
    </row>
    <row r="20" spans="1:10" x14ac:dyDescent="0.3">
      <c r="A20" s="3" t="s">
        <v>1045</v>
      </c>
      <c r="B20" s="3" t="s">
        <v>1026</v>
      </c>
      <c r="C20" s="3">
        <v>4</v>
      </c>
      <c r="D20" s="3">
        <v>4</v>
      </c>
      <c r="E20" s="3">
        <v>1</v>
      </c>
      <c r="F20" s="3">
        <v>1</v>
      </c>
      <c r="G20" s="3">
        <v>4</v>
      </c>
      <c r="H20" s="3">
        <v>3</v>
      </c>
      <c r="I20" s="3">
        <v>1</v>
      </c>
      <c r="J20" s="3">
        <v>2</v>
      </c>
    </row>
    <row r="21" spans="1:10" x14ac:dyDescent="0.3">
      <c r="A21" s="3" t="s">
        <v>1046</v>
      </c>
      <c r="B21" s="3" t="s">
        <v>1026</v>
      </c>
      <c r="C21" s="3">
        <v>1</v>
      </c>
      <c r="D21" s="3">
        <v>2</v>
      </c>
      <c r="E21" s="3">
        <v>5</v>
      </c>
      <c r="F21" s="3">
        <v>4</v>
      </c>
      <c r="G21" s="3">
        <v>2</v>
      </c>
      <c r="H21" s="3">
        <v>4</v>
      </c>
      <c r="I21" s="3">
        <v>1</v>
      </c>
      <c r="J21" s="3">
        <v>4</v>
      </c>
    </row>
    <row r="22" spans="1:10" x14ac:dyDescent="0.3">
      <c r="A22" s="3" t="s">
        <v>1047</v>
      </c>
      <c r="B22" s="3" t="s">
        <v>1026</v>
      </c>
      <c r="C22" s="3">
        <v>5</v>
      </c>
      <c r="D22" s="3">
        <v>1</v>
      </c>
      <c r="E22" s="3">
        <v>2</v>
      </c>
      <c r="F22" s="3">
        <v>2</v>
      </c>
      <c r="G22" s="3">
        <v>1</v>
      </c>
      <c r="H22" s="3">
        <v>2</v>
      </c>
      <c r="I22" s="3">
        <v>5</v>
      </c>
      <c r="J22" s="3">
        <v>4</v>
      </c>
    </row>
    <row r="23" spans="1:10" x14ac:dyDescent="0.3">
      <c r="A23" s="3" t="s">
        <v>1048</v>
      </c>
      <c r="B23" s="3" t="s">
        <v>1026</v>
      </c>
      <c r="C23" s="3">
        <v>4</v>
      </c>
      <c r="D23" s="3">
        <v>2</v>
      </c>
      <c r="E23" s="3">
        <v>4</v>
      </c>
      <c r="F23" s="3">
        <v>1</v>
      </c>
      <c r="G23" s="3">
        <v>4</v>
      </c>
      <c r="H23" s="3">
        <v>1</v>
      </c>
      <c r="I23" s="3">
        <v>4</v>
      </c>
      <c r="J23" s="3">
        <v>4</v>
      </c>
    </row>
    <row r="24" spans="1:10" x14ac:dyDescent="0.3">
      <c r="A24" s="3" t="s">
        <v>1049</v>
      </c>
      <c r="B24" s="3" t="s">
        <v>1026</v>
      </c>
      <c r="C24" s="3">
        <v>2</v>
      </c>
      <c r="D24" s="3">
        <v>2</v>
      </c>
      <c r="E24" s="3">
        <v>4</v>
      </c>
      <c r="F24" s="3">
        <v>1</v>
      </c>
      <c r="G24" s="3">
        <v>5</v>
      </c>
      <c r="H24" s="3">
        <v>1</v>
      </c>
      <c r="I24" s="3">
        <v>5</v>
      </c>
      <c r="J24" s="3">
        <v>5</v>
      </c>
    </row>
    <row r="25" spans="1:10" x14ac:dyDescent="0.3">
      <c r="A25" s="3" t="s">
        <v>1050</v>
      </c>
      <c r="B25" s="3" t="s">
        <v>1026</v>
      </c>
      <c r="C25" s="3">
        <v>2</v>
      </c>
      <c r="D25" s="3">
        <v>2</v>
      </c>
      <c r="E25" s="3">
        <v>2</v>
      </c>
      <c r="F25" s="3">
        <v>3</v>
      </c>
      <c r="G25" s="3">
        <v>4</v>
      </c>
      <c r="H25" s="3">
        <v>5</v>
      </c>
      <c r="I25" s="3">
        <v>5</v>
      </c>
      <c r="J25" s="3">
        <v>2</v>
      </c>
    </row>
    <row r="26" spans="1:10" x14ac:dyDescent="0.3">
      <c r="A26" s="3" t="s">
        <v>1051</v>
      </c>
      <c r="B26" s="3" t="s">
        <v>1031</v>
      </c>
      <c r="C26" s="3">
        <v>5</v>
      </c>
      <c r="D26" s="3">
        <v>1</v>
      </c>
      <c r="E26" s="3">
        <v>2</v>
      </c>
      <c r="F26" s="3">
        <v>4</v>
      </c>
      <c r="G26" s="3">
        <v>2</v>
      </c>
      <c r="H26" s="3">
        <v>3</v>
      </c>
      <c r="I26" s="3">
        <v>1</v>
      </c>
      <c r="J26" s="3">
        <v>3</v>
      </c>
    </row>
    <row r="27" spans="1:10" x14ac:dyDescent="0.3">
      <c r="A27" s="3" t="s">
        <v>1052</v>
      </c>
      <c r="B27" s="3" t="s">
        <v>1031</v>
      </c>
      <c r="C27" s="3">
        <v>1</v>
      </c>
      <c r="D27" s="3">
        <v>2</v>
      </c>
      <c r="E27" s="3">
        <v>2</v>
      </c>
      <c r="F27" s="3">
        <v>1</v>
      </c>
      <c r="G27" s="3">
        <v>1</v>
      </c>
      <c r="H27" s="3">
        <v>3</v>
      </c>
      <c r="I27" s="3">
        <v>1</v>
      </c>
      <c r="J27" s="3">
        <v>2</v>
      </c>
    </row>
    <row r="28" spans="1:10" x14ac:dyDescent="0.3">
      <c r="A28" s="3" t="s">
        <v>1053</v>
      </c>
      <c r="B28" s="3" t="s">
        <v>1026</v>
      </c>
      <c r="C28" s="3">
        <v>5</v>
      </c>
      <c r="D28" s="3">
        <v>3</v>
      </c>
      <c r="E28" s="3">
        <v>5</v>
      </c>
      <c r="F28" s="3">
        <v>3</v>
      </c>
      <c r="G28" s="3">
        <v>2</v>
      </c>
      <c r="H28" s="3">
        <v>2</v>
      </c>
      <c r="I28" s="3">
        <v>5</v>
      </c>
      <c r="J28" s="3">
        <v>3</v>
      </c>
    </row>
    <row r="29" spans="1:10" x14ac:dyDescent="0.3">
      <c r="A29" s="3" t="s">
        <v>1054</v>
      </c>
      <c r="B29" s="3" t="s">
        <v>1026</v>
      </c>
      <c r="C29" s="3">
        <v>4</v>
      </c>
      <c r="D29" s="3">
        <v>3</v>
      </c>
      <c r="E29" s="3">
        <v>1</v>
      </c>
      <c r="F29" s="3">
        <v>5</v>
      </c>
      <c r="G29" s="3">
        <v>2</v>
      </c>
      <c r="H29" s="3">
        <v>4</v>
      </c>
      <c r="I29" s="3">
        <v>2</v>
      </c>
      <c r="J29" s="3">
        <v>1</v>
      </c>
    </row>
    <row r="30" spans="1:10" x14ac:dyDescent="0.3">
      <c r="A30" s="3" t="s">
        <v>1055</v>
      </c>
      <c r="B30" s="3" t="s">
        <v>1031</v>
      </c>
      <c r="C30" s="3">
        <v>4</v>
      </c>
      <c r="D30" s="3">
        <v>1</v>
      </c>
      <c r="E30" s="3">
        <v>4</v>
      </c>
      <c r="F30" s="3">
        <v>3</v>
      </c>
      <c r="G30" s="3">
        <v>5</v>
      </c>
      <c r="H30" s="3">
        <v>2</v>
      </c>
      <c r="I30" s="3">
        <v>2</v>
      </c>
      <c r="J30" s="3">
        <v>1</v>
      </c>
    </row>
    <row r="31" spans="1:10" x14ac:dyDescent="0.3">
      <c r="A31" s="3" t="s">
        <v>1056</v>
      </c>
      <c r="B31" s="3" t="s">
        <v>1031</v>
      </c>
      <c r="C31" s="3">
        <v>4</v>
      </c>
      <c r="D31" s="3">
        <v>1</v>
      </c>
      <c r="E31" s="3">
        <v>2</v>
      </c>
      <c r="F31" s="3">
        <v>5</v>
      </c>
      <c r="G31" s="3">
        <v>1</v>
      </c>
      <c r="H31" s="3">
        <v>2</v>
      </c>
      <c r="I31" s="3">
        <v>4</v>
      </c>
      <c r="J31" s="3">
        <v>3</v>
      </c>
    </row>
    <row r="32" spans="1:10" x14ac:dyDescent="0.3">
      <c r="A32" s="3" t="s">
        <v>1057</v>
      </c>
      <c r="B32" s="3" t="s">
        <v>1031</v>
      </c>
      <c r="C32" s="3">
        <v>3</v>
      </c>
      <c r="D32" s="3">
        <v>1</v>
      </c>
      <c r="E32" s="3">
        <v>2</v>
      </c>
      <c r="F32" s="3">
        <v>3</v>
      </c>
      <c r="G32" s="3">
        <v>5</v>
      </c>
      <c r="H32" s="3">
        <v>3</v>
      </c>
      <c r="I32" s="3">
        <v>3</v>
      </c>
      <c r="J32" s="3">
        <v>5</v>
      </c>
    </row>
    <row r="33" spans="1:10" x14ac:dyDescent="0.3">
      <c r="A33" s="3" t="s">
        <v>1058</v>
      </c>
      <c r="B33" s="3" t="s">
        <v>1026</v>
      </c>
      <c r="C33" s="3">
        <v>1</v>
      </c>
      <c r="D33" s="3">
        <v>3</v>
      </c>
      <c r="E33" s="3">
        <v>1</v>
      </c>
      <c r="F33" s="3">
        <v>1</v>
      </c>
      <c r="G33" s="3">
        <v>1</v>
      </c>
      <c r="H33" s="3">
        <v>2</v>
      </c>
      <c r="I33" s="3">
        <v>2</v>
      </c>
      <c r="J33" s="3">
        <v>4</v>
      </c>
    </row>
    <row r="34" spans="1:10" x14ac:dyDescent="0.3">
      <c r="A34" s="3" t="s">
        <v>1059</v>
      </c>
      <c r="B34" s="3" t="s">
        <v>1026</v>
      </c>
      <c r="C34" s="3">
        <v>3</v>
      </c>
      <c r="D34" s="3">
        <v>4</v>
      </c>
      <c r="E34" s="3">
        <v>2</v>
      </c>
      <c r="F34" s="3">
        <v>4</v>
      </c>
      <c r="G34" s="3">
        <v>2</v>
      </c>
      <c r="H34" s="3">
        <v>5</v>
      </c>
      <c r="I34" s="3">
        <v>4</v>
      </c>
      <c r="J34" s="3">
        <v>4</v>
      </c>
    </row>
    <row r="35" spans="1:10" x14ac:dyDescent="0.3">
      <c r="A35" s="3" t="s">
        <v>1060</v>
      </c>
      <c r="B35" s="3" t="s">
        <v>1026</v>
      </c>
      <c r="C35" s="3">
        <v>5</v>
      </c>
      <c r="D35" s="3">
        <v>4</v>
      </c>
      <c r="E35" s="3">
        <v>1</v>
      </c>
      <c r="F35" s="3">
        <v>5</v>
      </c>
      <c r="G35" s="3">
        <v>1</v>
      </c>
      <c r="H35" s="3">
        <v>3</v>
      </c>
      <c r="I35" s="3">
        <v>4</v>
      </c>
      <c r="J35" s="3">
        <v>1</v>
      </c>
    </row>
    <row r="36" spans="1:10" x14ac:dyDescent="0.3">
      <c r="A36" s="3" t="s">
        <v>1061</v>
      </c>
      <c r="B36" s="3" t="s">
        <v>1026</v>
      </c>
      <c r="C36" s="3">
        <v>4</v>
      </c>
      <c r="D36" s="3">
        <v>3</v>
      </c>
      <c r="E36" s="3">
        <v>5</v>
      </c>
      <c r="F36" s="3">
        <v>1</v>
      </c>
      <c r="G36" s="3">
        <v>2</v>
      </c>
      <c r="H36" s="3">
        <v>5</v>
      </c>
      <c r="I36" s="3">
        <v>3</v>
      </c>
      <c r="J36" s="3">
        <v>1</v>
      </c>
    </row>
    <row r="37" spans="1:10" x14ac:dyDescent="0.3">
      <c r="A37" s="3" t="s">
        <v>1062</v>
      </c>
      <c r="B37" s="3" t="s">
        <v>1031</v>
      </c>
      <c r="C37" s="3">
        <v>2</v>
      </c>
      <c r="D37" s="3">
        <v>2</v>
      </c>
      <c r="E37" s="3">
        <v>3</v>
      </c>
      <c r="F37" s="3">
        <v>3</v>
      </c>
      <c r="G37" s="3">
        <v>2</v>
      </c>
      <c r="H37" s="3">
        <v>1</v>
      </c>
      <c r="I37" s="3">
        <v>3</v>
      </c>
      <c r="J37" s="3">
        <v>5</v>
      </c>
    </row>
    <row r="38" spans="1:10" x14ac:dyDescent="0.3">
      <c r="A38" s="3" t="s">
        <v>1063</v>
      </c>
      <c r="B38" s="3" t="s">
        <v>1031</v>
      </c>
      <c r="C38" s="3">
        <v>2</v>
      </c>
      <c r="D38" s="3">
        <v>2</v>
      </c>
      <c r="E38" s="3">
        <v>1</v>
      </c>
      <c r="F38" s="3">
        <v>2</v>
      </c>
      <c r="G38" s="3">
        <v>5</v>
      </c>
      <c r="H38" s="3">
        <v>5</v>
      </c>
      <c r="I38" s="3">
        <v>1</v>
      </c>
      <c r="J38" s="3">
        <v>2</v>
      </c>
    </row>
    <row r="39" spans="1:10" x14ac:dyDescent="0.3">
      <c r="A39" s="3" t="s">
        <v>1064</v>
      </c>
      <c r="B39" s="3" t="s">
        <v>1026</v>
      </c>
      <c r="C39" s="3">
        <v>3</v>
      </c>
      <c r="D39" s="3">
        <v>1</v>
      </c>
      <c r="E39" s="3">
        <v>3</v>
      </c>
      <c r="F39" s="3">
        <v>3</v>
      </c>
      <c r="G39" s="3">
        <v>3</v>
      </c>
      <c r="H39" s="3">
        <v>3</v>
      </c>
      <c r="I39" s="3">
        <v>1</v>
      </c>
      <c r="J39" s="3">
        <v>5</v>
      </c>
    </row>
    <row r="40" spans="1:10" x14ac:dyDescent="0.3">
      <c r="A40" s="3" t="s">
        <v>1065</v>
      </c>
      <c r="B40" s="3" t="s">
        <v>1031</v>
      </c>
      <c r="C40" s="3">
        <v>4</v>
      </c>
      <c r="D40" s="3">
        <v>2</v>
      </c>
      <c r="E40" s="3">
        <v>4</v>
      </c>
      <c r="F40" s="3">
        <v>3</v>
      </c>
      <c r="G40" s="3">
        <v>1</v>
      </c>
      <c r="H40" s="3">
        <v>4</v>
      </c>
      <c r="I40" s="3">
        <v>3</v>
      </c>
      <c r="J40" s="3">
        <v>3</v>
      </c>
    </row>
    <row r="41" spans="1:10" x14ac:dyDescent="0.3">
      <c r="A41" s="3" t="s">
        <v>1066</v>
      </c>
      <c r="B41" s="3" t="s">
        <v>1031</v>
      </c>
      <c r="C41" s="3">
        <v>5</v>
      </c>
      <c r="D41" s="3">
        <v>2</v>
      </c>
      <c r="E41" s="3">
        <v>3</v>
      </c>
      <c r="F41" s="3">
        <v>5</v>
      </c>
      <c r="G41" s="3">
        <v>5</v>
      </c>
      <c r="H41" s="3">
        <v>3</v>
      </c>
      <c r="I41" s="3">
        <v>2</v>
      </c>
      <c r="J41" s="3">
        <v>5</v>
      </c>
    </row>
    <row r="42" spans="1:10" x14ac:dyDescent="0.3">
      <c r="A42" s="3" t="s">
        <v>1067</v>
      </c>
      <c r="B42" s="3" t="s">
        <v>1031</v>
      </c>
      <c r="C42" s="3">
        <v>1</v>
      </c>
      <c r="D42" s="3">
        <v>5</v>
      </c>
      <c r="E42" s="3">
        <v>5</v>
      </c>
      <c r="F42" s="3">
        <v>2</v>
      </c>
      <c r="G42" s="3">
        <v>1</v>
      </c>
      <c r="H42" s="3">
        <v>5</v>
      </c>
      <c r="I42" s="3">
        <v>4</v>
      </c>
      <c r="J42" s="3">
        <v>4</v>
      </c>
    </row>
    <row r="43" spans="1:10" x14ac:dyDescent="0.3">
      <c r="A43" s="3" t="s">
        <v>1068</v>
      </c>
      <c r="B43" s="3" t="s">
        <v>1031</v>
      </c>
      <c r="C43" s="3">
        <v>3</v>
      </c>
      <c r="D43" s="3">
        <v>1</v>
      </c>
      <c r="E43" s="3">
        <v>3</v>
      </c>
      <c r="F43" s="3">
        <v>2</v>
      </c>
      <c r="G43" s="3">
        <v>3</v>
      </c>
      <c r="H43" s="3">
        <v>2</v>
      </c>
      <c r="I43" s="3">
        <v>2</v>
      </c>
      <c r="J43" s="3">
        <v>4</v>
      </c>
    </row>
    <row r="44" spans="1:10" x14ac:dyDescent="0.3">
      <c r="A44" s="3" t="s">
        <v>1069</v>
      </c>
      <c r="B44" s="3" t="s">
        <v>1026</v>
      </c>
      <c r="C44" s="3">
        <v>5</v>
      </c>
      <c r="D44" s="3">
        <v>4</v>
      </c>
      <c r="E44" s="3">
        <v>2</v>
      </c>
      <c r="F44" s="3">
        <v>1</v>
      </c>
      <c r="G44" s="3">
        <v>2</v>
      </c>
      <c r="H44" s="3">
        <v>4</v>
      </c>
      <c r="I44" s="3">
        <v>2</v>
      </c>
      <c r="J44" s="3">
        <v>3</v>
      </c>
    </row>
    <row r="45" spans="1:10" x14ac:dyDescent="0.3">
      <c r="A45" s="3" t="s">
        <v>1070</v>
      </c>
      <c r="B45" s="3" t="s">
        <v>1026</v>
      </c>
      <c r="C45" s="3">
        <v>1</v>
      </c>
      <c r="D45" s="3">
        <v>4</v>
      </c>
      <c r="E45" s="3">
        <v>4</v>
      </c>
      <c r="F45" s="3">
        <v>4</v>
      </c>
      <c r="G45" s="3">
        <v>4</v>
      </c>
      <c r="H45" s="3">
        <v>2</v>
      </c>
      <c r="I45" s="3">
        <v>3</v>
      </c>
      <c r="J45" s="3">
        <v>2</v>
      </c>
    </row>
    <row r="46" spans="1:10" x14ac:dyDescent="0.3">
      <c r="A46" s="3" t="s">
        <v>1071</v>
      </c>
      <c r="B46" s="3" t="s">
        <v>1026</v>
      </c>
      <c r="C46" s="3">
        <v>4</v>
      </c>
      <c r="D46" s="3">
        <v>1</v>
      </c>
      <c r="E46" s="3">
        <v>3</v>
      </c>
      <c r="F46" s="3">
        <v>3</v>
      </c>
      <c r="G46" s="3">
        <v>2</v>
      </c>
      <c r="H46" s="3">
        <v>4</v>
      </c>
      <c r="I46" s="3">
        <v>2</v>
      </c>
      <c r="J46" s="3">
        <v>2</v>
      </c>
    </row>
    <row r="47" spans="1:10" x14ac:dyDescent="0.3">
      <c r="A47" s="3" t="s">
        <v>1072</v>
      </c>
      <c r="B47" s="3" t="s">
        <v>1031</v>
      </c>
      <c r="C47" s="3">
        <v>4</v>
      </c>
      <c r="D47" s="3">
        <v>1</v>
      </c>
      <c r="E47" s="3">
        <v>5</v>
      </c>
      <c r="F47" s="3">
        <v>4</v>
      </c>
      <c r="G47" s="3">
        <v>5</v>
      </c>
      <c r="H47" s="3">
        <v>5</v>
      </c>
      <c r="I47" s="3">
        <v>2</v>
      </c>
      <c r="J47" s="3">
        <v>1</v>
      </c>
    </row>
    <row r="48" spans="1:10" x14ac:dyDescent="0.3">
      <c r="A48" s="3" t="s">
        <v>1073</v>
      </c>
      <c r="B48" s="3" t="s">
        <v>1031</v>
      </c>
      <c r="C48" s="3">
        <v>2</v>
      </c>
      <c r="D48" s="3">
        <v>1</v>
      </c>
      <c r="E48" s="3">
        <v>5</v>
      </c>
      <c r="F48" s="3">
        <v>2</v>
      </c>
      <c r="G48" s="3">
        <v>1</v>
      </c>
      <c r="H48" s="3">
        <v>2</v>
      </c>
      <c r="I48" s="3">
        <v>4</v>
      </c>
      <c r="J48" s="3">
        <v>3</v>
      </c>
    </row>
    <row r="49" spans="1:10" x14ac:dyDescent="0.3">
      <c r="A49" s="3" t="s">
        <v>1074</v>
      </c>
      <c r="B49" s="3" t="s">
        <v>1026</v>
      </c>
      <c r="C49" s="3">
        <v>1</v>
      </c>
      <c r="D49" s="3">
        <v>4</v>
      </c>
      <c r="E49" s="3">
        <v>3</v>
      </c>
      <c r="F49" s="3">
        <v>2</v>
      </c>
      <c r="G49" s="3">
        <v>3</v>
      </c>
      <c r="H49" s="3">
        <v>5</v>
      </c>
      <c r="I49" s="3">
        <v>5</v>
      </c>
      <c r="J49" s="3">
        <v>3</v>
      </c>
    </row>
    <row r="50" spans="1:10" x14ac:dyDescent="0.3">
      <c r="A50" s="3" t="s">
        <v>1075</v>
      </c>
      <c r="B50" s="3" t="s">
        <v>1031</v>
      </c>
      <c r="C50" s="3">
        <v>4</v>
      </c>
      <c r="D50" s="3">
        <v>1</v>
      </c>
      <c r="E50" s="3">
        <v>5</v>
      </c>
      <c r="F50" s="3">
        <v>4</v>
      </c>
      <c r="G50" s="3">
        <v>5</v>
      </c>
      <c r="H50" s="3">
        <v>3</v>
      </c>
      <c r="I50" s="3">
        <v>4</v>
      </c>
      <c r="J50" s="3">
        <v>3</v>
      </c>
    </row>
    <row r="51" spans="1:10" x14ac:dyDescent="0.3">
      <c r="A51" s="3" t="s">
        <v>1076</v>
      </c>
      <c r="B51" s="3" t="s">
        <v>1026</v>
      </c>
      <c r="C51" s="3">
        <v>3</v>
      </c>
      <c r="D51" s="3">
        <v>3</v>
      </c>
      <c r="E51" s="3">
        <v>2</v>
      </c>
      <c r="F51" s="3">
        <v>4</v>
      </c>
      <c r="G51" s="3">
        <v>1</v>
      </c>
      <c r="H51" s="3">
        <v>5</v>
      </c>
      <c r="I51" s="3">
        <v>4</v>
      </c>
      <c r="J51" s="3">
        <v>3</v>
      </c>
    </row>
    <row r="52" spans="1:10" x14ac:dyDescent="0.3">
      <c r="A52" s="3" t="s">
        <v>1077</v>
      </c>
      <c r="B52" s="3" t="s">
        <v>1026</v>
      </c>
      <c r="C52" s="3">
        <v>5</v>
      </c>
      <c r="D52" s="3">
        <v>4</v>
      </c>
      <c r="E52" s="3">
        <v>4</v>
      </c>
      <c r="F52" s="3">
        <v>1</v>
      </c>
      <c r="G52" s="3">
        <v>5</v>
      </c>
      <c r="H52" s="3">
        <v>3</v>
      </c>
      <c r="I52" s="3">
        <v>2</v>
      </c>
      <c r="J52" s="3">
        <v>1</v>
      </c>
    </row>
    <row r="53" spans="1:10" x14ac:dyDescent="0.3">
      <c r="A53" s="3" t="s">
        <v>1078</v>
      </c>
      <c r="B53" s="3" t="s">
        <v>1026</v>
      </c>
      <c r="C53" s="3">
        <v>1</v>
      </c>
      <c r="D53" s="3">
        <v>3</v>
      </c>
      <c r="E53" s="3">
        <v>5</v>
      </c>
      <c r="F53" s="3">
        <v>5</v>
      </c>
      <c r="G53" s="3">
        <v>5</v>
      </c>
      <c r="H53" s="3">
        <v>2</v>
      </c>
      <c r="I53" s="3">
        <v>4</v>
      </c>
      <c r="J53" s="3">
        <v>3</v>
      </c>
    </row>
    <row r="54" spans="1:10" x14ac:dyDescent="0.3">
      <c r="A54" s="3" t="s">
        <v>1079</v>
      </c>
      <c r="B54" s="3" t="s">
        <v>1026</v>
      </c>
      <c r="C54" s="3">
        <v>5</v>
      </c>
      <c r="D54" s="3">
        <v>1</v>
      </c>
      <c r="E54" s="3">
        <v>4</v>
      </c>
      <c r="F54" s="3">
        <v>5</v>
      </c>
      <c r="G54" s="3">
        <v>4</v>
      </c>
      <c r="H54" s="3">
        <v>5</v>
      </c>
      <c r="I54" s="3">
        <v>3</v>
      </c>
      <c r="J54" s="3">
        <v>5</v>
      </c>
    </row>
    <row r="55" spans="1:10" x14ac:dyDescent="0.3">
      <c r="A55" s="3" t="s">
        <v>1080</v>
      </c>
      <c r="B55" s="3" t="s">
        <v>1031</v>
      </c>
      <c r="C55" s="3">
        <v>1</v>
      </c>
      <c r="D55" s="3">
        <v>2</v>
      </c>
      <c r="E55" s="3">
        <v>5</v>
      </c>
      <c r="F55" s="3">
        <v>4</v>
      </c>
      <c r="G55" s="3">
        <v>5</v>
      </c>
      <c r="H55" s="3">
        <v>2</v>
      </c>
      <c r="I55" s="3">
        <v>1</v>
      </c>
      <c r="J55" s="3">
        <v>5</v>
      </c>
    </row>
    <row r="56" spans="1:10" x14ac:dyDescent="0.3">
      <c r="A56" s="3" t="s">
        <v>1081</v>
      </c>
      <c r="B56" s="3" t="s">
        <v>1031</v>
      </c>
      <c r="C56" s="3">
        <v>5</v>
      </c>
      <c r="D56" s="3">
        <v>4</v>
      </c>
      <c r="E56" s="3">
        <v>1</v>
      </c>
      <c r="F56" s="3">
        <v>1</v>
      </c>
      <c r="G56" s="3">
        <v>4</v>
      </c>
      <c r="H56" s="3">
        <v>4</v>
      </c>
      <c r="I56" s="3">
        <v>1</v>
      </c>
      <c r="J56" s="3">
        <v>2</v>
      </c>
    </row>
    <row r="57" spans="1:10" x14ac:dyDescent="0.3">
      <c r="A57" s="3" t="s">
        <v>1082</v>
      </c>
      <c r="B57" s="3" t="s">
        <v>1031</v>
      </c>
      <c r="C57" s="3">
        <v>2</v>
      </c>
      <c r="D57" s="3">
        <v>4</v>
      </c>
      <c r="E57" s="3">
        <v>5</v>
      </c>
      <c r="F57" s="3">
        <v>5</v>
      </c>
      <c r="G57" s="3">
        <v>3</v>
      </c>
      <c r="H57" s="3">
        <v>2</v>
      </c>
      <c r="I57" s="3">
        <v>2</v>
      </c>
      <c r="J57" s="3">
        <v>3</v>
      </c>
    </row>
    <row r="58" spans="1:10" x14ac:dyDescent="0.3">
      <c r="A58" s="3" t="s">
        <v>1083</v>
      </c>
      <c r="B58" s="3" t="s">
        <v>1031</v>
      </c>
      <c r="C58" s="3">
        <v>4</v>
      </c>
      <c r="D58" s="3">
        <v>1</v>
      </c>
      <c r="E58" s="3">
        <v>4</v>
      </c>
      <c r="F58" s="3">
        <v>1</v>
      </c>
      <c r="G58" s="3">
        <v>1</v>
      </c>
      <c r="H58" s="3">
        <v>4</v>
      </c>
      <c r="I58" s="3">
        <v>5</v>
      </c>
      <c r="J58" s="3">
        <v>5</v>
      </c>
    </row>
    <row r="59" spans="1:10" x14ac:dyDescent="0.3">
      <c r="A59" s="3" t="s">
        <v>1084</v>
      </c>
      <c r="B59" s="3" t="s">
        <v>1026</v>
      </c>
      <c r="C59" s="3">
        <v>3</v>
      </c>
      <c r="D59" s="3">
        <v>2</v>
      </c>
      <c r="E59" s="3">
        <v>5</v>
      </c>
      <c r="F59" s="3">
        <v>2</v>
      </c>
      <c r="G59" s="3">
        <v>2</v>
      </c>
      <c r="H59" s="3">
        <v>5</v>
      </c>
      <c r="I59" s="3">
        <v>3</v>
      </c>
      <c r="J59" s="3">
        <v>1</v>
      </c>
    </row>
    <row r="60" spans="1:10" x14ac:dyDescent="0.3">
      <c r="A60" s="3" t="s">
        <v>1085</v>
      </c>
      <c r="B60" s="3" t="s">
        <v>1026</v>
      </c>
      <c r="C60" s="3">
        <v>5</v>
      </c>
      <c r="D60" s="3">
        <v>5</v>
      </c>
      <c r="E60" s="3">
        <v>1</v>
      </c>
      <c r="F60" s="3">
        <v>1</v>
      </c>
      <c r="G60" s="3">
        <v>2</v>
      </c>
      <c r="H60" s="3">
        <v>5</v>
      </c>
      <c r="I60" s="3">
        <v>4</v>
      </c>
      <c r="J60" s="3">
        <v>5</v>
      </c>
    </row>
    <row r="61" spans="1:10" x14ac:dyDescent="0.3">
      <c r="A61" s="3" t="s">
        <v>1086</v>
      </c>
      <c r="B61" s="3" t="s">
        <v>1026</v>
      </c>
      <c r="C61" s="3">
        <v>1</v>
      </c>
      <c r="D61" s="3">
        <v>4</v>
      </c>
      <c r="E61" s="3">
        <v>2</v>
      </c>
      <c r="F61" s="3">
        <v>1</v>
      </c>
      <c r="G61" s="3">
        <v>1</v>
      </c>
      <c r="H61" s="3">
        <v>3</v>
      </c>
      <c r="I61" s="3">
        <v>3</v>
      </c>
      <c r="J61" s="3">
        <v>1</v>
      </c>
    </row>
    <row r="62" spans="1:10" x14ac:dyDescent="0.3">
      <c r="A62" s="3" t="s">
        <v>1087</v>
      </c>
      <c r="B62" s="3" t="s">
        <v>1026</v>
      </c>
      <c r="C62" s="3">
        <v>2</v>
      </c>
      <c r="D62" s="3">
        <v>2</v>
      </c>
      <c r="E62" s="3">
        <v>1</v>
      </c>
      <c r="F62" s="3">
        <v>3</v>
      </c>
      <c r="G62" s="3">
        <v>1</v>
      </c>
      <c r="H62" s="3">
        <v>1</v>
      </c>
      <c r="I62" s="3">
        <v>4</v>
      </c>
      <c r="J62" s="3">
        <v>2</v>
      </c>
    </row>
    <row r="63" spans="1:10" x14ac:dyDescent="0.3">
      <c r="A63" s="3" t="s">
        <v>1088</v>
      </c>
      <c r="B63" s="3" t="s">
        <v>1031</v>
      </c>
      <c r="C63" s="3">
        <v>3</v>
      </c>
      <c r="D63" s="3">
        <v>2</v>
      </c>
      <c r="E63" s="3">
        <v>5</v>
      </c>
      <c r="F63" s="3">
        <v>3</v>
      </c>
      <c r="G63" s="3">
        <v>4</v>
      </c>
      <c r="H63" s="3">
        <v>4</v>
      </c>
      <c r="I63" s="3">
        <v>2</v>
      </c>
      <c r="J63" s="3">
        <v>3</v>
      </c>
    </row>
    <row r="64" spans="1:10" x14ac:dyDescent="0.3">
      <c r="A64" s="3" t="s">
        <v>1089</v>
      </c>
      <c r="B64" s="3" t="s">
        <v>1026</v>
      </c>
      <c r="C64" s="3">
        <v>5</v>
      </c>
      <c r="D64" s="3">
        <v>5</v>
      </c>
      <c r="E64" s="3">
        <v>2</v>
      </c>
      <c r="F64" s="3">
        <v>5</v>
      </c>
      <c r="G64" s="3">
        <v>1</v>
      </c>
      <c r="H64" s="3">
        <v>3</v>
      </c>
      <c r="I64" s="3">
        <v>1</v>
      </c>
      <c r="J64" s="3">
        <v>4</v>
      </c>
    </row>
    <row r="65" spans="1:10" x14ac:dyDescent="0.3">
      <c r="A65" s="3" t="s">
        <v>1090</v>
      </c>
      <c r="B65" s="3" t="s">
        <v>1026</v>
      </c>
      <c r="C65" s="3">
        <v>5</v>
      </c>
      <c r="D65" s="3">
        <v>1</v>
      </c>
      <c r="E65" s="3">
        <v>1</v>
      </c>
      <c r="F65" s="3">
        <v>4</v>
      </c>
      <c r="G65" s="3">
        <v>2</v>
      </c>
      <c r="H65" s="3">
        <v>4</v>
      </c>
      <c r="I65" s="3">
        <v>5</v>
      </c>
      <c r="J65" s="3">
        <v>2</v>
      </c>
    </row>
    <row r="66" spans="1:10" x14ac:dyDescent="0.3">
      <c r="A66" s="3" t="s">
        <v>1091</v>
      </c>
      <c r="B66" s="3" t="s">
        <v>1031</v>
      </c>
      <c r="C66" s="3">
        <v>1</v>
      </c>
      <c r="D66" s="3">
        <v>3</v>
      </c>
      <c r="E66" s="3">
        <v>4</v>
      </c>
      <c r="F66" s="3">
        <v>5</v>
      </c>
      <c r="G66" s="3">
        <v>5</v>
      </c>
      <c r="H66" s="3">
        <v>4</v>
      </c>
      <c r="I66" s="3">
        <v>5</v>
      </c>
      <c r="J66" s="3">
        <v>3</v>
      </c>
    </row>
    <row r="67" spans="1:10" x14ac:dyDescent="0.3">
      <c r="A67" s="3" t="s">
        <v>1092</v>
      </c>
      <c r="B67" s="3" t="s">
        <v>1031</v>
      </c>
      <c r="C67" s="3">
        <v>1</v>
      </c>
      <c r="D67" s="3">
        <v>4</v>
      </c>
      <c r="E67" s="3">
        <v>1</v>
      </c>
      <c r="F67" s="3">
        <v>3</v>
      </c>
      <c r="G67" s="3">
        <v>3</v>
      </c>
      <c r="H67" s="3">
        <v>4</v>
      </c>
      <c r="I67" s="3">
        <v>4</v>
      </c>
      <c r="J67" s="3">
        <v>1</v>
      </c>
    </row>
    <row r="68" spans="1:10" x14ac:dyDescent="0.3">
      <c r="A68" s="3" t="s">
        <v>1093</v>
      </c>
      <c r="B68" s="3" t="s">
        <v>1031</v>
      </c>
      <c r="C68" s="3">
        <v>2</v>
      </c>
      <c r="D68" s="3">
        <v>4</v>
      </c>
      <c r="E68" s="3">
        <v>3</v>
      </c>
      <c r="F68" s="3">
        <v>4</v>
      </c>
      <c r="G68" s="3">
        <v>4</v>
      </c>
      <c r="H68" s="3">
        <v>4</v>
      </c>
      <c r="I68" s="3">
        <v>5</v>
      </c>
      <c r="J68" s="3">
        <v>5</v>
      </c>
    </row>
    <row r="69" spans="1:10" x14ac:dyDescent="0.3">
      <c r="A69" s="3" t="s">
        <v>1094</v>
      </c>
      <c r="B69" s="3" t="s">
        <v>1031</v>
      </c>
      <c r="C69" s="3">
        <v>3</v>
      </c>
      <c r="D69" s="3">
        <v>4</v>
      </c>
      <c r="E69" s="3">
        <v>3</v>
      </c>
      <c r="F69" s="3">
        <v>1</v>
      </c>
      <c r="G69" s="3">
        <v>1</v>
      </c>
      <c r="H69" s="3">
        <v>2</v>
      </c>
      <c r="I69" s="3">
        <v>1</v>
      </c>
      <c r="J69" s="3">
        <v>1</v>
      </c>
    </row>
    <row r="70" spans="1:10" x14ac:dyDescent="0.3">
      <c r="A70" s="3" t="s">
        <v>1095</v>
      </c>
      <c r="B70" s="3" t="s">
        <v>1026</v>
      </c>
      <c r="C70" s="3">
        <v>1</v>
      </c>
      <c r="D70" s="3">
        <v>2</v>
      </c>
      <c r="E70" s="3">
        <v>4</v>
      </c>
      <c r="F70" s="3">
        <v>2</v>
      </c>
      <c r="G70" s="3">
        <v>5</v>
      </c>
      <c r="H70" s="3">
        <v>5</v>
      </c>
      <c r="I70" s="3">
        <v>1</v>
      </c>
      <c r="J70" s="3">
        <v>1</v>
      </c>
    </row>
    <row r="71" spans="1:10" x14ac:dyDescent="0.3">
      <c r="A71" s="3" t="s">
        <v>1096</v>
      </c>
      <c r="B71" s="3" t="s">
        <v>1031</v>
      </c>
      <c r="C71" s="3">
        <v>1</v>
      </c>
      <c r="D71" s="3">
        <v>3</v>
      </c>
      <c r="E71" s="3">
        <v>4</v>
      </c>
      <c r="F71" s="3">
        <v>1</v>
      </c>
      <c r="G71" s="3">
        <v>2</v>
      </c>
      <c r="H71" s="3">
        <v>4</v>
      </c>
      <c r="I71" s="3">
        <v>5</v>
      </c>
      <c r="J71" s="3">
        <v>2</v>
      </c>
    </row>
    <row r="72" spans="1:10" x14ac:dyDescent="0.3">
      <c r="A72" s="3" t="s">
        <v>1097</v>
      </c>
      <c r="B72" s="3" t="s">
        <v>1026</v>
      </c>
      <c r="C72" s="3">
        <v>3</v>
      </c>
      <c r="D72" s="3">
        <v>4</v>
      </c>
      <c r="E72" s="3">
        <v>1</v>
      </c>
      <c r="F72" s="3">
        <v>5</v>
      </c>
      <c r="G72" s="3">
        <v>3</v>
      </c>
      <c r="H72" s="3">
        <v>4</v>
      </c>
      <c r="I72" s="3">
        <v>1</v>
      </c>
      <c r="J72" s="3">
        <v>1</v>
      </c>
    </row>
    <row r="73" spans="1:10" x14ac:dyDescent="0.3">
      <c r="A73" s="3" t="s">
        <v>1098</v>
      </c>
      <c r="B73" s="3" t="s">
        <v>1031</v>
      </c>
      <c r="C73" s="3">
        <v>1</v>
      </c>
      <c r="D73" s="3">
        <v>4</v>
      </c>
      <c r="E73" s="3">
        <v>1</v>
      </c>
      <c r="F73" s="3">
        <v>4</v>
      </c>
      <c r="G73" s="3">
        <v>1</v>
      </c>
      <c r="H73" s="3">
        <v>3</v>
      </c>
      <c r="I73" s="3">
        <v>1</v>
      </c>
      <c r="J73" s="3">
        <v>4</v>
      </c>
    </row>
    <row r="74" spans="1:10" x14ac:dyDescent="0.3">
      <c r="A74" s="3" t="s">
        <v>1099</v>
      </c>
      <c r="B74" s="3" t="s">
        <v>1026</v>
      </c>
      <c r="C74" s="3">
        <v>2</v>
      </c>
      <c r="D74" s="3">
        <v>2</v>
      </c>
      <c r="E74" s="3">
        <v>5</v>
      </c>
      <c r="F74" s="3">
        <v>5</v>
      </c>
      <c r="G74" s="3">
        <v>3</v>
      </c>
      <c r="H74" s="3">
        <v>3</v>
      </c>
      <c r="I74" s="3">
        <v>2</v>
      </c>
      <c r="J74" s="3">
        <v>3</v>
      </c>
    </row>
    <row r="75" spans="1:10" x14ac:dyDescent="0.3">
      <c r="A75" s="3" t="s">
        <v>1100</v>
      </c>
      <c r="B75" s="3" t="s">
        <v>1026</v>
      </c>
      <c r="C75" s="3">
        <v>4</v>
      </c>
      <c r="D75" s="3">
        <v>5</v>
      </c>
      <c r="E75" s="3">
        <v>3</v>
      </c>
      <c r="F75" s="3">
        <v>2</v>
      </c>
      <c r="G75" s="3">
        <v>2</v>
      </c>
      <c r="H75" s="3">
        <v>4</v>
      </c>
      <c r="I75" s="3">
        <v>2</v>
      </c>
      <c r="J75" s="3">
        <v>2</v>
      </c>
    </row>
    <row r="76" spans="1:10" x14ac:dyDescent="0.3">
      <c r="A76" s="3" t="s">
        <v>1101</v>
      </c>
      <c r="B76" s="3" t="s">
        <v>1026</v>
      </c>
      <c r="C76" s="3">
        <v>4</v>
      </c>
      <c r="D76" s="3">
        <v>4</v>
      </c>
      <c r="E76" s="3">
        <v>5</v>
      </c>
      <c r="F76" s="3">
        <v>4</v>
      </c>
      <c r="G76" s="3">
        <v>4</v>
      </c>
      <c r="H76" s="3">
        <v>2</v>
      </c>
      <c r="I76" s="3">
        <v>3</v>
      </c>
      <c r="J76" s="3">
        <v>4</v>
      </c>
    </row>
    <row r="77" spans="1:10" x14ac:dyDescent="0.3">
      <c r="A77" s="3" t="s">
        <v>1102</v>
      </c>
      <c r="B77" s="3" t="s">
        <v>1026</v>
      </c>
      <c r="C77" s="3">
        <v>5</v>
      </c>
      <c r="D77" s="3">
        <v>4</v>
      </c>
      <c r="E77" s="3">
        <v>4</v>
      </c>
      <c r="F77" s="3">
        <v>4</v>
      </c>
      <c r="G77" s="3">
        <v>1</v>
      </c>
      <c r="H77" s="3">
        <v>1</v>
      </c>
      <c r="I77" s="3">
        <v>5</v>
      </c>
      <c r="J77" s="3">
        <v>1</v>
      </c>
    </row>
    <row r="78" spans="1:10" x14ac:dyDescent="0.3">
      <c r="A78" s="3" t="s">
        <v>1103</v>
      </c>
      <c r="B78" s="3" t="s">
        <v>1031</v>
      </c>
      <c r="C78" s="3">
        <v>3</v>
      </c>
      <c r="D78" s="3">
        <v>5</v>
      </c>
      <c r="E78" s="3">
        <v>2</v>
      </c>
      <c r="F78" s="3">
        <v>2</v>
      </c>
      <c r="G78" s="3">
        <v>3</v>
      </c>
      <c r="H78" s="3">
        <v>1</v>
      </c>
      <c r="I78" s="3">
        <v>5</v>
      </c>
      <c r="J78" s="3">
        <v>1</v>
      </c>
    </row>
    <row r="79" spans="1:10" x14ac:dyDescent="0.3">
      <c r="A79" s="3" t="s">
        <v>1104</v>
      </c>
      <c r="B79" s="3" t="s">
        <v>1031</v>
      </c>
      <c r="C79" s="3">
        <v>2</v>
      </c>
      <c r="D79" s="3">
        <v>4</v>
      </c>
      <c r="E79" s="3">
        <v>4</v>
      </c>
      <c r="F79" s="3">
        <v>1</v>
      </c>
      <c r="G79" s="3">
        <v>2</v>
      </c>
      <c r="H79" s="3">
        <v>1</v>
      </c>
      <c r="I79" s="3">
        <v>3</v>
      </c>
      <c r="J79" s="3">
        <v>3</v>
      </c>
    </row>
    <row r="80" spans="1:10" x14ac:dyDescent="0.3">
      <c r="A80" s="3" t="s">
        <v>1105</v>
      </c>
      <c r="B80" s="3" t="s">
        <v>1026</v>
      </c>
      <c r="C80" s="3">
        <v>1</v>
      </c>
      <c r="D80" s="3">
        <v>3</v>
      </c>
      <c r="E80" s="3">
        <v>5</v>
      </c>
      <c r="F80" s="3">
        <v>1</v>
      </c>
      <c r="G80" s="3">
        <v>5</v>
      </c>
      <c r="H80" s="3">
        <v>1</v>
      </c>
      <c r="I80" s="3">
        <v>2</v>
      </c>
      <c r="J80" s="3">
        <v>2</v>
      </c>
    </row>
    <row r="81" spans="1:10" x14ac:dyDescent="0.3">
      <c r="A81" s="3" t="s">
        <v>1106</v>
      </c>
      <c r="B81" s="3" t="s">
        <v>1026</v>
      </c>
      <c r="C81" s="3">
        <v>4</v>
      </c>
      <c r="D81" s="3">
        <v>3</v>
      </c>
      <c r="E81" s="3">
        <v>2</v>
      </c>
      <c r="F81" s="3">
        <v>3</v>
      </c>
      <c r="G81" s="3">
        <v>5</v>
      </c>
      <c r="H81" s="3">
        <v>3</v>
      </c>
      <c r="I81" s="3">
        <v>5</v>
      </c>
      <c r="J81" s="3">
        <v>5</v>
      </c>
    </row>
    <row r="82" spans="1:10" x14ac:dyDescent="0.3">
      <c r="A82" s="3" t="s">
        <v>1107</v>
      </c>
      <c r="B82" s="3" t="s">
        <v>1026</v>
      </c>
      <c r="C82" s="3">
        <v>4</v>
      </c>
      <c r="D82" s="3">
        <v>3</v>
      </c>
      <c r="E82" s="3">
        <v>5</v>
      </c>
      <c r="F82" s="3">
        <v>4</v>
      </c>
      <c r="G82" s="3">
        <v>2</v>
      </c>
      <c r="H82" s="3">
        <v>1</v>
      </c>
      <c r="I82" s="3">
        <v>5</v>
      </c>
      <c r="J82" s="3">
        <v>5</v>
      </c>
    </row>
    <row r="83" spans="1:10" x14ac:dyDescent="0.3">
      <c r="A83" s="3" t="s">
        <v>1108</v>
      </c>
      <c r="B83" s="3" t="s">
        <v>1031</v>
      </c>
      <c r="C83" s="3">
        <v>5</v>
      </c>
      <c r="D83" s="3">
        <v>4</v>
      </c>
      <c r="E83" s="3">
        <v>3</v>
      </c>
      <c r="F83" s="3">
        <v>1</v>
      </c>
      <c r="G83" s="3">
        <v>1</v>
      </c>
      <c r="H83" s="3">
        <v>1</v>
      </c>
      <c r="I83" s="3">
        <v>3</v>
      </c>
      <c r="J83" s="3">
        <v>4</v>
      </c>
    </row>
    <row r="84" spans="1:10" x14ac:dyDescent="0.3">
      <c r="A84" s="3" t="s">
        <v>1109</v>
      </c>
      <c r="B84" s="3" t="s">
        <v>1026</v>
      </c>
      <c r="C84" s="3">
        <v>4</v>
      </c>
      <c r="D84" s="3">
        <v>2</v>
      </c>
      <c r="E84" s="3">
        <v>3</v>
      </c>
      <c r="F84" s="3">
        <v>5</v>
      </c>
      <c r="G84" s="3">
        <v>3</v>
      </c>
      <c r="H84" s="3">
        <v>4</v>
      </c>
      <c r="I84" s="3">
        <v>1</v>
      </c>
      <c r="J84" s="3">
        <v>2</v>
      </c>
    </row>
    <row r="85" spans="1:10" x14ac:dyDescent="0.3">
      <c r="A85" s="3" t="s">
        <v>1110</v>
      </c>
      <c r="B85" s="3" t="s">
        <v>1031</v>
      </c>
      <c r="C85" s="3">
        <v>2</v>
      </c>
      <c r="D85" s="3">
        <v>2</v>
      </c>
      <c r="E85" s="3">
        <v>5</v>
      </c>
      <c r="F85" s="3">
        <v>1</v>
      </c>
      <c r="G85" s="3">
        <v>1</v>
      </c>
      <c r="H85" s="3">
        <v>4</v>
      </c>
      <c r="I85" s="3">
        <v>2</v>
      </c>
      <c r="J85" s="3">
        <v>3</v>
      </c>
    </row>
    <row r="86" spans="1:10" x14ac:dyDescent="0.3">
      <c r="A86" s="3" t="s">
        <v>1111</v>
      </c>
      <c r="B86" s="3" t="s">
        <v>1026</v>
      </c>
      <c r="C86" s="3">
        <v>5</v>
      </c>
      <c r="D86" s="3">
        <v>1</v>
      </c>
      <c r="E86" s="3">
        <v>4</v>
      </c>
      <c r="F86" s="3">
        <v>2</v>
      </c>
      <c r="G86" s="3">
        <v>4</v>
      </c>
      <c r="H86" s="3">
        <v>3</v>
      </c>
      <c r="I86" s="3">
        <v>4</v>
      </c>
      <c r="J86" s="3">
        <v>3</v>
      </c>
    </row>
    <row r="87" spans="1:10" x14ac:dyDescent="0.3">
      <c r="A87" s="3" t="s">
        <v>1112</v>
      </c>
      <c r="B87" s="3" t="s">
        <v>1031</v>
      </c>
      <c r="C87" s="3">
        <v>4</v>
      </c>
      <c r="D87" s="3">
        <v>1</v>
      </c>
      <c r="E87" s="3">
        <v>2</v>
      </c>
      <c r="F87" s="3">
        <v>4</v>
      </c>
      <c r="G87" s="3">
        <v>4</v>
      </c>
      <c r="H87" s="3">
        <v>2</v>
      </c>
      <c r="I87" s="3">
        <v>2</v>
      </c>
      <c r="J87" s="3">
        <v>3</v>
      </c>
    </row>
    <row r="88" spans="1:10" x14ac:dyDescent="0.3">
      <c r="A88" s="3" t="s">
        <v>1113</v>
      </c>
      <c r="B88" s="3" t="s">
        <v>1026</v>
      </c>
      <c r="C88" s="3">
        <v>2</v>
      </c>
      <c r="D88" s="3">
        <v>1</v>
      </c>
      <c r="E88" s="3">
        <v>1</v>
      </c>
      <c r="F88" s="3">
        <v>1</v>
      </c>
      <c r="G88" s="3">
        <v>1</v>
      </c>
      <c r="H88" s="3">
        <v>1</v>
      </c>
      <c r="I88" s="3">
        <v>1</v>
      </c>
      <c r="J88" s="3">
        <v>4</v>
      </c>
    </row>
    <row r="89" spans="1:10" x14ac:dyDescent="0.3">
      <c r="A89" s="3" t="s">
        <v>1114</v>
      </c>
      <c r="B89" s="3" t="s">
        <v>1026</v>
      </c>
      <c r="C89" s="3">
        <v>1</v>
      </c>
      <c r="D89" s="3">
        <v>1</v>
      </c>
      <c r="E89" s="3">
        <v>3</v>
      </c>
      <c r="F89" s="3">
        <v>4</v>
      </c>
      <c r="G89" s="3">
        <v>3</v>
      </c>
      <c r="H89" s="3">
        <v>3</v>
      </c>
      <c r="I89" s="3">
        <v>5</v>
      </c>
      <c r="J89" s="3">
        <v>4</v>
      </c>
    </row>
    <row r="90" spans="1:10" x14ac:dyDescent="0.3">
      <c r="A90" s="3" t="s">
        <v>1115</v>
      </c>
      <c r="B90" s="3" t="s">
        <v>1031</v>
      </c>
      <c r="C90" s="3">
        <v>4</v>
      </c>
      <c r="D90" s="3">
        <v>5</v>
      </c>
      <c r="E90" s="3">
        <v>5</v>
      </c>
      <c r="F90" s="3">
        <v>4</v>
      </c>
      <c r="G90" s="3">
        <v>5</v>
      </c>
      <c r="H90" s="3">
        <v>2</v>
      </c>
      <c r="I90" s="3">
        <v>2</v>
      </c>
      <c r="J90" s="3">
        <v>4</v>
      </c>
    </row>
    <row r="91" spans="1:10" x14ac:dyDescent="0.3">
      <c r="A91" s="3" t="s">
        <v>1116</v>
      </c>
      <c r="B91" s="3" t="s">
        <v>1031</v>
      </c>
      <c r="C91" s="3">
        <v>5</v>
      </c>
      <c r="D91" s="3">
        <v>1</v>
      </c>
      <c r="E91" s="3">
        <v>4</v>
      </c>
      <c r="F91" s="3">
        <v>5</v>
      </c>
      <c r="G91" s="3">
        <v>2</v>
      </c>
      <c r="H91" s="3">
        <v>5</v>
      </c>
      <c r="I91" s="3">
        <v>2</v>
      </c>
      <c r="J91" s="3">
        <v>5</v>
      </c>
    </row>
    <row r="92" spans="1:10" x14ac:dyDescent="0.3">
      <c r="A92" s="3" t="s">
        <v>1117</v>
      </c>
      <c r="B92" s="3" t="s">
        <v>1031</v>
      </c>
      <c r="C92" s="3">
        <v>2</v>
      </c>
      <c r="D92" s="3">
        <v>1</v>
      </c>
      <c r="E92" s="3">
        <v>5</v>
      </c>
      <c r="F92" s="3">
        <v>1</v>
      </c>
      <c r="G92" s="3">
        <v>1</v>
      </c>
      <c r="H92" s="3">
        <v>1</v>
      </c>
      <c r="I92" s="3">
        <v>4</v>
      </c>
      <c r="J92" s="3">
        <v>5</v>
      </c>
    </row>
    <row r="93" spans="1:10" x14ac:dyDescent="0.3">
      <c r="A93" s="3" t="s">
        <v>1118</v>
      </c>
      <c r="B93" s="3" t="s">
        <v>1031</v>
      </c>
      <c r="C93" s="3">
        <v>5</v>
      </c>
      <c r="D93" s="3">
        <v>1</v>
      </c>
      <c r="E93" s="3">
        <v>4</v>
      </c>
      <c r="F93" s="3">
        <v>3</v>
      </c>
      <c r="G93" s="3">
        <v>4</v>
      </c>
      <c r="H93" s="3">
        <v>4</v>
      </c>
      <c r="I93" s="3">
        <v>5</v>
      </c>
      <c r="J93" s="3">
        <v>1</v>
      </c>
    </row>
    <row r="94" spans="1:10" x14ac:dyDescent="0.3">
      <c r="A94" s="3" t="s">
        <v>1119</v>
      </c>
      <c r="B94" s="3" t="s">
        <v>1026</v>
      </c>
      <c r="C94" s="3">
        <v>1</v>
      </c>
      <c r="D94" s="3">
        <v>5</v>
      </c>
      <c r="E94" s="3">
        <v>3</v>
      </c>
      <c r="F94" s="3">
        <v>4</v>
      </c>
      <c r="G94" s="3">
        <v>4</v>
      </c>
      <c r="H94" s="3">
        <v>3</v>
      </c>
      <c r="I94" s="3">
        <v>2</v>
      </c>
      <c r="J94" s="3">
        <v>3</v>
      </c>
    </row>
    <row r="95" spans="1:10" x14ac:dyDescent="0.3">
      <c r="A95" s="3" t="s">
        <v>1120</v>
      </c>
      <c r="B95" s="3" t="s">
        <v>1026</v>
      </c>
      <c r="C95" s="3">
        <v>3</v>
      </c>
      <c r="D95" s="3">
        <v>1</v>
      </c>
      <c r="E95" s="3">
        <v>1</v>
      </c>
      <c r="F95" s="3">
        <v>2</v>
      </c>
      <c r="G95" s="3">
        <v>2</v>
      </c>
      <c r="H95" s="3">
        <v>2</v>
      </c>
      <c r="I95" s="3">
        <v>1</v>
      </c>
      <c r="J95" s="3">
        <v>2</v>
      </c>
    </row>
    <row r="96" spans="1:10" x14ac:dyDescent="0.3">
      <c r="A96" s="3" t="s">
        <v>1121</v>
      </c>
      <c r="B96" s="3" t="s">
        <v>1026</v>
      </c>
      <c r="C96" s="3">
        <v>4</v>
      </c>
      <c r="D96" s="3">
        <v>2</v>
      </c>
      <c r="E96" s="3">
        <v>3</v>
      </c>
      <c r="F96" s="3">
        <v>2</v>
      </c>
      <c r="G96" s="3">
        <v>3</v>
      </c>
      <c r="H96" s="3">
        <v>3</v>
      </c>
      <c r="I96" s="3">
        <v>5</v>
      </c>
      <c r="J96" s="3">
        <v>4</v>
      </c>
    </row>
    <row r="97" spans="1:10" x14ac:dyDescent="0.3">
      <c r="A97" s="3" t="s">
        <v>1122</v>
      </c>
      <c r="B97" s="3" t="s">
        <v>1031</v>
      </c>
      <c r="C97" s="3">
        <v>1</v>
      </c>
      <c r="D97" s="3">
        <v>3</v>
      </c>
      <c r="E97" s="3">
        <v>4</v>
      </c>
      <c r="F97" s="3">
        <v>5</v>
      </c>
      <c r="G97" s="3">
        <v>1</v>
      </c>
      <c r="H97" s="3">
        <v>5</v>
      </c>
      <c r="I97" s="3">
        <v>3</v>
      </c>
      <c r="J97" s="3">
        <v>5</v>
      </c>
    </row>
    <row r="98" spans="1:10" x14ac:dyDescent="0.3">
      <c r="A98" s="3" t="s">
        <v>1123</v>
      </c>
      <c r="B98" s="3" t="s">
        <v>1026</v>
      </c>
      <c r="C98" s="3">
        <v>1</v>
      </c>
      <c r="D98" s="3">
        <v>4</v>
      </c>
      <c r="E98" s="3">
        <v>5</v>
      </c>
      <c r="F98" s="3">
        <v>3</v>
      </c>
      <c r="G98" s="3">
        <v>2</v>
      </c>
      <c r="H98" s="3">
        <v>3</v>
      </c>
      <c r="I98" s="3">
        <v>1</v>
      </c>
      <c r="J98" s="3">
        <v>4</v>
      </c>
    </row>
    <row r="99" spans="1:10" x14ac:dyDescent="0.3">
      <c r="A99" s="3" t="s">
        <v>1124</v>
      </c>
      <c r="B99" s="3" t="s">
        <v>1026</v>
      </c>
      <c r="C99" s="3">
        <v>1</v>
      </c>
      <c r="D99" s="3">
        <v>2</v>
      </c>
      <c r="E99" s="3">
        <v>5</v>
      </c>
      <c r="F99" s="3">
        <v>3</v>
      </c>
      <c r="G99" s="3">
        <v>4</v>
      </c>
      <c r="H99" s="3">
        <v>1</v>
      </c>
      <c r="I99" s="3">
        <v>2</v>
      </c>
      <c r="J99" s="3">
        <v>1</v>
      </c>
    </row>
    <row r="100" spans="1:10" x14ac:dyDescent="0.3">
      <c r="A100" s="3" t="s">
        <v>1125</v>
      </c>
      <c r="B100" s="3" t="s">
        <v>1026</v>
      </c>
      <c r="C100" s="3">
        <v>2</v>
      </c>
      <c r="D100" s="3">
        <v>5</v>
      </c>
      <c r="E100" s="3">
        <v>3</v>
      </c>
      <c r="F100" s="3">
        <v>5</v>
      </c>
      <c r="G100" s="3">
        <v>5</v>
      </c>
      <c r="H100" s="3">
        <v>3</v>
      </c>
      <c r="I100" s="3">
        <v>4</v>
      </c>
      <c r="J100" s="3">
        <v>5</v>
      </c>
    </row>
    <row r="101" spans="1:10" x14ac:dyDescent="0.3">
      <c r="A101" s="3" t="s">
        <v>1126</v>
      </c>
      <c r="B101" s="3" t="s">
        <v>1031</v>
      </c>
      <c r="C101" s="3">
        <v>5</v>
      </c>
      <c r="D101" s="3">
        <v>5</v>
      </c>
      <c r="E101" s="3">
        <v>1</v>
      </c>
      <c r="F101" s="3">
        <v>2</v>
      </c>
      <c r="G101" s="3">
        <v>4</v>
      </c>
      <c r="H101" s="3">
        <v>1</v>
      </c>
      <c r="I101" s="3">
        <v>1</v>
      </c>
      <c r="J101" s="3">
        <v>4</v>
      </c>
    </row>
    <row r="102" spans="1:10" x14ac:dyDescent="0.3">
      <c r="A102" s="3" t="s">
        <v>1179</v>
      </c>
      <c r="B102" s="3" t="s">
        <v>1026</v>
      </c>
      <c r="C102" s="3">
        <v>5</v>
      </c>
      <c r="D102" s="3">
        <v>5</v>
      </c>
      <c r="E102" s="3">
        <v>5</v>
      </c>
      <c r="F102" s="3">
        <v>5</v>
      </c>
      <c r="G102" s="3">
        <v>5</v>
      </c>
      <c r="H102" s="3">
        <v>5</v>
      </c>
      <c r="I102" s="3">
        <v>5</v>
      </c>
      <c r="J102" s="3">
        <v>5</v>
      </c>
    </row>
    <row r="103" spans="1:10" x14ac:dyDescent="0.3">
      <c r="A103" s="3" t="s">
        <v>1180</v>
      </c>
      <c r="B103" s="3" t="s">
        <v>1026</v>
      </c>
      <c r="C103" s="3">
        <v>5</v>
      </c>
      <c r="D103" s="3">
        <v>5</v>
      </c>
      <c r="E103" s="3">
        <v>5</v>
      </c>
      <c r="F103" s="3">
        <v>5</v>
      </c>
      <c r="G103" s="3">
        <v>5</v>
      </c>
      <c r="H103" s="3">
        <v>5</v>
      </c>
      <c r="I103" s="3">
        <v>5</v>
      </c>
      <c r="J103" s="3">
        <v>5</v>
      </c>
    </row>
    <row r="104" spans="1:10" x14ac:dyDescent="0.3">
      <c r="A104" s="3" t="s">
        <v>1181</v>
      </c>
      <c r="B104" s="3" t="s">
        <v>1026</v>
      </c>
      <c r="C104" s="3">
        <v>2</v>
      </c>
      <c r="D104" s="3">
        <v>3</v>
      </c>
      <c r="E104" s="3">
        <v>4</v>
      </c>
      <c r="F104" s="3">
        <v>5</v>
      </c>
      <c r="G104" s="3">
        <v>4</v>
      </c>
      <c r="H104" s="3">
        <v>3</v>
      </c>
      <c r="I104" s="3">
        <v>2</v>
      </c>
      <c r="J104" s="3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10</xdr:col>
                <xdr:colOff>95250</xdr:colOff>
                <xdr:row>0</xdr:row>
                <xdr:rowOff>66675</xdr:rowOff>
              </from>
              <to>
                <xdr:col>11</xdr:col>
                <xdr:colOff>457200</xdr:colOff>
                <xdr:row>0</xdr:row>
                <xdr:rowOff>361950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P121"/>
  <sheetViews>
    <sheetView zoomScale="55" zoomScaleNormal="55" workbookViewId="0">
      <selection activeCell="F37" sqref="F37:F39"/>
    </sheetView>
  </sheetViews>
  <sheetFormatPr defaultRowHeight="16.5" x14ac:dyDescent="0.3"/>
  <cols>
    <col min="28" max="28" width="10.75" bestFit="1" customWidth="1"/>
    <col min="36" max="36" width="18.375" customWidth="1"/>
    <col min="37" max="40" width="10" customWidth="1"/>
    <col min="41" max="41" width="13.875" customWidth="1"/>
    <col min="42" max="42" width="12.375" customWidth="1"/>
  </cols>
  <sheetData>
    <row r="1" spans="1:42" x14ac:dyDescent="0.3">
      <c r="B1" t="str">
        <f>IFERROR(IFERROR(VLOOKUP(번호,표2[],COLUMN(),FALSE),VLOOKUP(번호,표1[],COLUMN(),FALSE)),"")</f>
        <v/>
      </c>
      <c r="C1" t="str">
        <f>IFERROR(IFERROR(VLOOKUP(번호,표2[],COLUMN(),FALSE),VLOOKUP(번호,표1[],COLUMN(),FALSE)),"")</f>
        <v/>
      </c>
      <c r="D1" t="str">
        <f>IFERROR(IFERROR(VLOOKUP(번호,표2[],COLUMN(),FALSE),VLOOKUP(번호,표1[],COLUMN(),FALSE)),"")</f>
        <v/>
      </c>
      <c r="E1" t="str">
        <f>IFERROR(IFERROR(VLOOKUP(번호,표2[],COLUMN(),FALSE),VLOOKUP(번호,표1[],COLUMN(),FALSE)),"")</f>
        <v/>
      </c>
      <c r="F1" t="str">
        <f>IFERROR(IFERROR(VLOOKUP(번호,표2[],COLUMN(),FALSE),VLOOKUP(번호,표1[],COLUMN(),FALSE)),"")</f>
        <v/>
      </c>
      <c r="G1" t="str">
        <f>IFERROR(IFERROR(VLOOKUP(번호,표2[],COLUMN(),FALSE),VLOOKUP(번호,표1[],COLUMN(),FALSE)),"")</f>
        <v/>
      </c>
      <c r="H1" t="s">
        <v>1128</v>
      </c>
      <c r="I1" t="s">
        <v>1130</v>
      </c>
      <c r="J1" t="s">
        <v>1127</v>
      </c>
      <c r="K1" s="4" t="s">
        <v>962</v>
      </c>
      <c r="L1" s="4" t="s">
        <v>963</v>
      </c>
      <c r="M1" s="4" t="s">
        <v>1142</v>
      </c>
      <c r="O1" s="12" t="s">
        <v>1144</v>
      </c>
      <c r="Q1" s="12" t="s">
        <v>1136</v>
      </c>
      <c r="S1" s="4" t="s">
        <v>267</v>
      </c>
      <c r="T1" s="4" t="s">
        <v>268</v>
      </c>
      <c r="U1" s="4" t="s">
        <v>269</v>
      </c>
      <c r="V1" s="4" t="s">
        <v>270</v>
      </c>
      <c r="W1" s="4" t="s">
        <v>271</v>
      </c>
      <c r="X1" s="4" t="s">
        <v>272</v>
      </c>
      <c r="Y1" s="4" t="s">
        <v>273</v>
      </c>
      <c r="Z1" s="4" t="s">
        <v>1134</v>
      </c>
      <c r="AB1" s="15" t="s">
        <v>1153</v>
      </c>
      <c r="AC1" s="15" t="s">
        <v>1154</v>
      </c>
      <c r="AF1" s="12" t="s">
        <v>1155</v>
      </c>
      <c r="AG1" s="12" t="s">
        <v>1156</v>
      </c>
      <c r="AK1" s="27" t="s">
        <v>1016</v>
      </c>
      <c r="AL1" s="27" t="s">
        <v>1171</v>
      </c>
    </row>
    <row r="2" spans="1:42" x14ac:dyDescent="0.3">
      <c r="A2" t="str">
        <f>IF(번호="관리자", "관리자", IF(F1&lt;&gt;"", "교사", IF(번호&lt;&gt;"", "학생", "")))</f>
        <v/>
      </c>
      <c r="H2" t="s">
        <v>1129</v>
      </c>
      <c r="I2" t="s">
        <v>1131</v>
      </c>
      <c r="J2" t="s">
        <v>1147</v>
      </c>
      <c r="K2" s="3" t="s">
        <v>608</v>
      </c>
      <c r="L2" s="3">
        <v>4</v>
      </c>
      <c r="M2" s="11" t="str">
        <f>IFERROR(IF(VLOOKUP(K2,$S$2:$Z$11,7,FALSE)  = L2,"O","X"),"")</f>
        <v>X</v>
      </c>
      <c r="O2" t="str">
        <f>"=" &amp; K2</f>
        <v>=B-19</v>
      </c>
      <c r="Q2" t="s">
        <v>1131</v>
      </c>
      <c r="S2" s="3" t="s">
        <v>650</v>
      </c>
      <c r="T2" s="3" t="s">
        <v>651</v>
      </c>
      <c r="U2" s="3" t="s">
        <v>652</v>
      </c>
      <c r="V2" s="3" t="s">
        <v>653</v>
      </c>
      <c r="W2" s="3" t="s">
        <v>654</v>
      </c>
      <c r="X2" s="3" t="s">
        <v>655</v>
      </c>
      <c r="Y2" s="3">
        <v>1</v>
      </c>
      <c r="Z2" s="3">
        <v>2.8576454611066726E-3</v>
      </c>
      <c r="AB2">
        <v>10</v>
      </c>
      <c r="AC2" s="3">
        <v>1</v>
      </c>
      <c r="AF2">
        <f>SUMPRODUCT((Y2:Y11=AC2:AC11)*1)</f>
        <v>4</v>
      </c>
      <c r="AG2">
        <f>10-AF2</f>
        <v>6</v>
      </c>
      <c r="AK2" t="s">
        <v>1026</v>
      </c>
      <c r="AM2" t="s">
        <v>1031</v>
      </c>
      <c r="AO2" t="s">
        <v>1167</v>
      </c>
      <c r="AP2" t="s">
        <v>1169</v>
      </c>
    </row>
    <row r="3" spans="1:42" x14ac:dyDescent="0.3">
      <c r="H3" t="s">
        <v>1133</v>
      </c>
      <c r="I3" t="s">
        <v>1132</v>
      </c>
      <c r="J3" t="s">
        <v>1148</v>
      </c>
      <c r="K3" s="3" t="s">
        <v>559</v>
      </c>
      <c r="L3" s="3">
        <v>1</v>
      </c>
      <c r="M3" s="11" t="str">
        <f t="shared" ref="M3:M11" si="0">IFERROR(IF(VLOOKUP(K3,$S$2:$Z$11,7,FALSE)  = L3,"O","X"),"")</f>
        <v>X</v>
      </c>
      <c r="O3" t="str">
        <f t="shared" ref="O3:O11" si="1">"=" &amp; K3</f>
        <v>=B-10</v>
      </c>
      <c r="S3" s="3" t="s">
        <v>559</v>
      </c>
      <c r="T3" s="3" t="s">
        <v>560</v>
      </c>
      <c r="U3" s="3" t="s">
        <v>561</v>
      </c>
      <c r="V3" s="3" t="s">
        <v>562</v>
      </c>
      <c r="W3" s="3" t="s">
        <v>563</v>
      </c>
      <c r="X3" s="3" t="s">
        <v>564</v>
      </c>
      <c r="Y3" s="3">
        <v>4</v>
      </c>
      <c r="Z3" s="3">
        <v>3.8207170197552487E-2</v>
      </c>
      <c r="AC3">
        <v>2</v>
      </c>
      <c r="AJ3" s="27" t="s">
        <v>1017</v>
      </c>
      <c r="AK3" t="s">
        <v>1168</v>
      </c>
      <c r="AL3" t="s">
        <v>1170</v>
      </c>
      <c r="AM3" t="s">
        <v>1168</v>
      </c>
      <c r="AN3" t="s">
        <v>1170</v>
      </c>
    </row>
    <row r="4" spans="1:42" ht="17.45" customHeight="1" x14ac:dyDescent="0.3">
      <c r="A4">
        <v>2</v>
      </c>
      <c r="K4" s="3" t="s">
        <v>547</v>
      </c>
      <c r="L4" s="3">
        <v>3</v>
      </c>
      <c r="M4" s="11" t="str">
        <f t="shared" si="0"/>
        <v>X</v>
      </c>
      <c r="O4" t="str">
        <f t="shared" si="1"/>
        <v>=B-8</v>
      </c>
      <c r="S4" s="3" t="s">
        <v>553</v>
      </c>
      <c r="T4" s="3" t="s">
        <v>554</v>
      </c>
      <c r="U4" s="3" t="s">
        <v>555</v>
      </c>
      <c r="V4" s="3" t="s">
        <v>556</v>
      </c>
      <c r="W4" s="3" t="s">
        <v>557</v>
      </c>
      <c r="X4" s="3" t="s">
        <v>558</v>
      </c>
      <c r="Y4" s="3">
        <v>1</v>
      </c>
      <c r="Z4" s="3">
        <v>3.9779827439122895E-2</v>
      </c>
      <c r="AC4">
        <v>3</v>
      </c>
      <c r="AJ4" t="s">
        <v>1172</v>
      </c>
      <c r="AK4" s="25">
        <v>14</v>
      </c>
      <c r="AL4" s="26">
        <v>0.14000000000000001</v>
      </c>
      <c r="AM4" s="25">
        <v>9</v>
      </c>
      <c r="AN4" s="26">
        <v>0.09</v>
      </c>
      <c r="AO4" s="25">
        <v>23</v>
      </c>
      <c r="AP4" s="26">
        <v>0.23</v>
      </c>
    </row>
    <row r="5" spans="1:42" ht="17.45" customHeight="1" x14ac:dyDescent="0.3">
      <c r="A5" s="23" t="s">
        <v>1165</v>
      </c>
      <c r="K5" s="3" t="s">
        <v>682</v>
      </c>
      <c r="L5" s="3">
        <v>2</v>
      </c>
      <c r="M5" s="11" t="str">
        <f t="shared" si="0"/>
        <v>O</v>
      </c>
      <c r="O5" t="str">
        <f t="shared" si="1"/>
        <v>=B-32</v>
      </c>
      <c r="S5" s="3" t="s">
        <v>608</v>
      </c>
      <c r="T5" s="3" t="s">
        <v>609</v>
      </c>
      <c r="U5" s="3" t="s">
        <v>610</v>
      </c>
      <c r="V5" s="3" t="s">
        <v>611</v>
      </c>
      <c r="W5" s="3" t="s">
        <v>612</v>
      </c>
      <c r="X5" s="3" t="s">
        <v>613</v>
      </c>
      <c r="Y5" s="3">
        <v>3</v>
      </c>
      <c r="Z5" s="3">
        <v>0.10079817180722395</v>
      </c>
      <c r="AC5">
        <v>4</v>
      </c>
      <c r="AJ5" t="s">
        <v>1173</v>
      </c>
      <c r="AK5" s="25">
        <v>12</v>
      </c>
      <c r="AL5" s="26">
        <v>0.12</v>
      </c>
      <c r="AM5" s="25">
        <v>10</v>
      </c>
      <c r="AN5" s="26">
        <v>0.1</v>
      </c>
      <c r="AO5" s="25">
        <v>22</v>
      </c>
      <c r="AP5" s="26">
        <v>0.22</v>
      </c>
    </row>
    <row r="6" spans="1:42" x14ac:dyDescent="0.3">
      <c r="K6" s="3" t="s">
        <v>505</v>
      </c>
      <c r="L6" s="3">
        <v>3</v>
      </c>
      <c r="M6" s="11" t="str">
        <f t="shared" si="0"/>
        <v>X</v>
      </c>
      <c r="O6" t="str">
        <f t="shared" si="1"/>
        <v>=B-1</v>
      </c>
      <c r="S6" s="3" t="s">
        <v>583</v>
      </c>
      <c r="T6" s="3" t="s">
        <v>584</v>
      </c>
      <c r="U6" s="3" t="s">
        <v>501</v>
      </c>
      <c r="V6" s="3" t="s">
        <v>585</v>
      </c>
      <c r="W6" s="3" t="s">
        <v>586</v>
      </c>
      <c r="X6" s="3" t="s">
        <v>587</v>
      </c>
      <c r="Y6" s="3">
        <v>3</v>
      </c>
      <c r="Z6" s="3">
        <v>0.22193757552143811</v>
      </c>
      <c r="AC6">
        <v>3</v>
      </c>
      <c r="AJ6" t="s">
        <v>1174</v>
      </c>
      <c r="AK6" s="25">
        <v>8</v>
      </c>
      <c r="AL6" s="26">
        <v>0.08</v>
      </c>
      <c r="AM6" s="25">
        <v>7</v>
      </c>
      <c r="AN6" s="26">
        <v>7.0000000000000007E-2</v>
      </c>
      <c r="AO6" s="25">
        <v>15</v>
      </c>
      <c r="AP6" s="26">
        <v>0.15</v>
      </c>
    </row>
    <row r="7" spans="1:42" x14ac:dyDescent="0.3">
      <c r="A7" s="12" t="s">
        <v>267</v>
      </c>
      <c r="B7" s="12" t="s">
        <v>1164</v>
      </c>
      <c r="C7" s="24" t="s">
        <v>1143</v>
      </c>
      <c r="K7" s="3" t="s">
        <v>583</v>
      </c>
      <c r="L7" s="3">
        <v>2</v>
      </c>
      <c r="M7" s="11" t="str">
        <f t="shared" si="0"/>
        <v>X</v>
      </c>
      <c r="O7" t="str">
        <f t="shared" si="1"/>
        <v>=B-14</v>
      </c>
      <c r="S7" s="3" t="s">
        <v>505</v>
      </c>
      <c r="T7" s="3" t="s">
        <v>506</v>
      </c>
      <c r="U7" s="3" t="s">
        <v>507</v>
      </c>
      <c r="V7" s="3" t="s">
        <v>508</v>
      </c>
      <c r="W7" s="3" t="s">
        <v>509</v>
      </c>
      <c r="X7" s="3" t="s">
        <v>510</v>
      </c>
      <c r="Y7" s="3">
        <v>1</v>
      </c>
      <c r="Z7" s="3">
        <v>0.41016234864805712</v>
      </c>
      <c r="AC7">
        <v>2</v>
      </c>
      <c r="AJ7" t="s">
        <v>1175</v>
      </c>
      <c r="AK7" s="25">
        <v>7</v>
      </c>
      <c r="AL7" s="26">
        <v>7.0000000000000007E-2</v>
      </c>
      <c r="AM7" s="25">
        <v>10</v>
      </c>
      <c r="AN7" s="26">
        <v>0.1</v>
      </c>
      <c r="AO7" s="25">
        <v>17</v>
      </c>
      <c r="AP7" s="26">
        <v>0.17</v>
      </c>
    </row>
    <row r="8" spans="1:42" x14ac:dyDescent="0.3">
      <c r="A8" s="3" t="s">
        <v>734</v>
      </c>
      <c r="B8" s="3">
        <v>11</v>
      </c>
      <c r="C8" s="6">
        <v>0.81818181818181823</v>
      </c>
      <c r="K8" s="3" t="s">
        <v>553</v>
      </c>
      <c r="L8" s="3">
        <v>1</v>
      </c>
      <c r="M8" s="11" t="str">
        <f t="shared" si="0"/>
        <v>O</v>
      </c>
      <c r="O8" t="str">
        <f t="shared" si="1"/>
        <v>=B-9</v>
      </c>
      <c r="S8" s="3" t="s">
        <v>730</v>
      </c>
      <c r="T8" s="3" t="s">
        <v>731</v>
      </c>
      <c r="U8" s="3" t="s">
        <v>732</v>
      </c>
      <c r="V8" s="3" t="s">
        <v>727</v>
      </c>
      <c r="W8" s="3" t="s">
        <v>729</v>
      </c>
      <c r="X8" s="3" t="s">
        <v>733</v>
      </c>
      <c r="Y8" s="3">
        <v>2</v>
      </c>
      <c r="Z8" s="3">
        <v>0.53682703900869266</v>
      </c>
      <c r="AC8">
        <v>4</v>
      </c>
      <c r="AJ8" t="s">
        <v>1176</v>
      </c>
      <c r="AK8" s="25">
        <v>14</v>
      </c>
      <c r="AL8" s="26">
        <v>0.14000000000000001</v>
      </c>
      <c r="AM8" s="25">
        <v>9</v>
      </c>
      <c r="AN8" s="26">
        <v>0.09</v>
      </c>
      <c r="AO8" s="25">
        <v>23</v>
      </c>
      <c r="AP8" s="26">
        <v>0.23</v>
      </c>
    </row>
    <row r="9" spans="1:42" x14ac:dyDescent="0.3">
      <c r="A9" s="3" t="s">
        <v>752</v>
      </c>
      <c r="B9" s="3">
        <v>10</v>
      </c>
      <c r="C9" s="6">
        <v>0.6</v>
      </c>
      <c r="K9" s="3" t="s">
        <v>656</v>
      </c>
      <c r="L9" s="3">
        <v>3</v>
      </c>
      <c r="M9" s="11" t="str">
        <f t="shared" si="0"/>
        <v>X</v>
      </c>
      <c r="O9" t="str">
        <f t="shared" si="1"/>
        <v>=B-27</v>
      </c>
      <c r="S9" s="3" t="s">
        <v>656</v>
      </c>
      <c r="T9" s="3" t="s">
        <v>657</v>
      </c>
      <c r="U9" s="3" t="s">
        <v>658</v>
      </c>
      <c r="V9" s="3" t="s">
        <v>659</v>
      </c>
      <c r="W9" s="3" t="s">
        <v>660</v>
      </c>
      <c r="X9" s="3" t="s">
        <v>661</v>
      </c>
      <c r="Y9" s="3">
        <v>1</v>
      </c>
      <c r="Z9" s="3">
        <v>0.62140782201415024</v>
      </c>
      <c r="AC9">
        <v>1</v>
      </c>
      <c r="AJ9" t="s">
        <v>1166</v>
      </c>
      <c r="AK9" s="25">
        <v>55</v>
      </c>
      <c r="AL9" s="26">
        <v>0.55000000000000004</v>
      </c>
      <c r="AM9" s="25">
        <v>45</v>
      </c>
      <c r="AN9" s="26">
        <v>0.45</v>
      </c>
      <c r="AO9" s="25">
        <v>100</v>
      </c>
      <c r="AP9" s="26">
        <v>1</v>
      </c>
    </row>
    <row r="10" spans="1:42" x14ac:dyDescent="0.3">
      <c r="A10" s="3" t="s">
        <v>740</v>
      </c>
      <c r="B10" s="3">
        <v>9</v>
      </c>
      <c r="C10" s="6">
        <v>0.77777777777777779</v>
      </c>
      <c r="K10" s="3" t="s">
        <v>650</v>
      </c>
      <c r="L10" s="3">
        <v>1</v>
      </c>
      <c r="M10" s="11" t="str">
        <f t="shared" si="0"/>
        <v>O</v>
      </c>
      <c r="O10" t="str">
        <f t="shared" si="1"/>
        <v>=B-26</v>
      </c>
      <c r="S10" s="3" t="s">
        <v>682</v>
      </c>
      <c r="T10" s="3" t="s">
        <v>683</v>
      </c>
      <c r="U10" s="3" t="s">
        <v>684</v>
      </c>
      <c r="V10" s="3" t="s">
        <v>685</v>
      </c>
      <c r="W10" s="3" t="s">
        <v>686</v>
      </c>
      <c r="X10" s="3" t="s">
        <v>687</v>
      </c>
      <c r="Y10" s="3">
        <v>2</v>
      </c>
      <c r="Z10" s="3">
        <v>0.76035183188499866</v>
      </c>
      <c r="AC10">
        <v>3</v>
      </c>
    </row>
    <row r="11" spans="1:42" x14ac:dyDescent="0.3">
      <c r="A11" s="3" t="s">
        <v>871</v>
      </c>
      <c r="B11" s="3">
        <v>7</v>
      </c>
      <c r="C11" s="6">
        <v>0.5714285714285714</v>
      </c>
      <c r="K11" s="3" t="s">
        <v>730</v>
      </c>
      <c r="L11" s="3">
        <v>2</v>
      </c>
      <c r="M11" s="11" t="str">
        <f t="shared" si="0"/>
        <v>O</v>
      </c>
      <c r="O11" t="str">
        <f t="shared" si="1"/>
        <v>=B-40</v>
      </c>
      <c r="S11" s="3" t="s">
        <v>547</v>
      </c>
      <c r="T11" s="3" t="s">
        <v>548</v>
      </c>
      <c r="U11" s="3" t="s">
        <v>549</v>
      </c>
      <c r="V11" s="3" t="s">
        <v>550</v>
      </c>
      <c r="W11" s="3" t="s">
        <v>551</v>
      </c>
      <c r="X11" s="3" t="s">
        <v>552</v>
      </c>
      <c r="Y11" s="3">
        <v>2</v>
      </c>
      <c r="Z11" s="3">
        <v>0.79397302217818211</v>
      </c>
      <c r="AC11">
        <v>2</v>
      </c>
      <c r="AK11" s="27" t="s">
        <v>1016</v>
      </c>
      <c r="AL11" s="27" t="s">
        <v>1171</v>
      </c>
    </row>
    <row r="12" spans="1:42" x14ac:dyDescent="0.3">
      <c r="A12" s="3" t="s">
        <v>840</v>
      </c>
      <c r="B12" s="3">
        <v>6</v>
      </c>
      <c r="C12" s="6">
        <v>0.66666666666666663</v>
      </c>
      <c r="S12" s="3"/>
      <c r="T12" s="3"/>
      <c r="U12" s="3"/>
      <c r="V12" s="3"/>
      <c r="W12" s="3"/>
      <c r="X12" s="3"/>
      <c r="Y12" s="3"/>
      <c r="Z12" s="3"/>
      <c r="AK12" t="s">
        <v>1026</v>
      </c>
      <c r="AM12" t="s">
        <v>1031</v>
      </c>
      <c r="AO12" t="s">
        <v>1167</v>
      </c>
      <c r="AP12" t="s">
        <v>1169</v>
      </c>
    </row>
    <row r="13" spans="1:42" x14ac:dyDescent="0.3">
      <c r="A13" s="3" t="s">
        <v>858</v>
      </c>
      <c r="B13" s="3">
        <v>6</v>
      </c>
      <c r="C13" s="6">
        <v>0.5</v>
      </c>
      <c r="S13" s="3"/>
      <c r="T13" s="3"/>
      <c r="U13" s="3"/>
      <c r="V13" s="3"/>
      <c r="W13" s="3"/>
      <c r="X13" s="3"/>
      <c r="Y13" s="3"/>
      <c r="Z13" s="3"/>
      <c r="AJ13" s="27" t="s">
        <v>1018</v>
      </c>
      <c r="AK13" t="s">
        <v>1168</v>
      </c>
      <c r="AL13" t="s">
        <v>1170</v>
      </c>
      <c r="AM13" t="s">
        <v>1168</v>
      </c>
      <c r="AN13" t="s">
        <v>1170</v>
      </c>
    </row>
    <row r="14" spans="1:42" x14ac:dyDescent="0.3">
      <c r="A14" s="3" t="s">
        <v>925</v>
      </c>
      <c r="B14" s="3">
        <v>6</v>
      </c>
      <c r="C14" s="6">
        <v>0.5</v>
      </c>
      <c r="S14" s="3"/>
      <c r="T14" s="3"/>
      <c r="U14" s="3"/>
      <c r="V14" s="3"/>
      <c r="W14" s="3"/>
      <c r="X14" s="3"/>
      <c r="Y14" s="3"/>
      <c r="Z14" s="3"/>
      <c r="AJ14" t="s">
        <v>1172</v>
      </c>
      <c r="AK14" s="25">
        <v>6</v>
      </c>
      <c r="AL14" s="26">
        <v>0.06</v>
      </c>
      <c r="AM14" s="25">
        <v>5</v>
      </c>
      <c r="AN14" s="26">
        <v>0.05</v>
      </c>
      <c r="AO14" s="25">
        <v>11</v>
      </c>
      <c r="AP14" s="26">
        <v>0.11</v>
      </c>
    </row>
    <row r="15" spans="1:42" x14ac:dyDescent="0.3">
      <c r="A15" s="28" t="s">
        <v>953</v>
      </c>
      <c r="B15" s="11">
        <v>6</v>
      </c>
      <c r="C15" s="6">
        <v>0.66666666666666663</v>
      </c>
      <c r="S15" s="3"/>
      <c r="T15" s="3"/>
      <c r="U15" s="3"/>
      <c r="V15" s="3"/>
      <c r="W15" s="3"/>
      <c r="X15" s="3"/>
      <c r="Y15" s="3"/>
      <c r="Z15" s="3"/>
      <c r="AJ15" t="s">
        <v>1173</v>
      </c>
      <c r="AK15" s="25">
        <v>14</v>
      </c>
      <c r="AL15" s="26">
        <v>0.14000000000000001</v>
      </c>
      <c r="AM15" s="25">
        <v>10</v>
      </c>
      <c r="AN15" s="26">
        <v>0.1</v>
      </c>
      <c r="AO15" s="25">
        <v>24</v>
      </c>
      <c r="AP15" s="26">
        <v>0.24</v>
      </c>
    </row>
    <row r="16" spans="1:42" x14ac:dyDescent="0.3">
      <c r="A16" s="3" t="s">
        <v>928</v>
      </c>
      <c r="B16" s="3">
        <v>5</v>
      </c>
      <c r="C16" s="6">
        <v>0.4</v>
      </c>
      <c r="S16" s="3"/>
      <c r="T16" s="3"/>
      <c r="U16" s="3"/>
      <c r="V16" s="3"/>
      <c r="W16" s="3"/>
      <c r="X16" s="3"/>
      <c r="Y16" s="3"/>
      <c r="Z16" s="3"/>
      <c r="AJ16" t="s">
        <v>1174</v>
      </c>
      <c r="AK16" s="25">
        <v>10</v>
      </c>
      <c r="AL16" s="26">
        <v>0.1</v>
      </c>
      <c r="AM16" s="25">
        <v>6</v>
      </c>
      <c r="AN16" s="26">
        <v>0.06</v>
      </c>
      <c r="AO16" s="25">
        <v>16</v>
      </c>
      <c r="AP16" s="26">
        <v>0.16</v>
      </c>
    </row>
    <row r="17" spans="1:42" x14ac:dyDescent="0.3">
      <c r="A17" s="3" t="s">
        <v>937</v>
      </c>
      <c r="B17" s="3">
        <v>5</v>
      </c>
      <c r="C17" s="6">
        <v>0.6</v>
      </c>
      <c r="S17" s="3"/>
      <c r="T17" s="3"/>
      <c r="U17" s="3"/>
      <c r="V17" s="3"/>
      <c r="W17" s="3"/>
      <c r="X17" s="3"/>
      <c r="Y17" s="3"/>
      <c r="Z17" s="3"/>
      <c r="AJ17" t="s">
        <v>1175</v>
      </c>
      <c r="AK17" s="25">
        <v>13</v>
      </c>
      <c r="AL17" s="26">
        <v>0.13</v>
      </c>
      <c r="AM17" s="25">
        <v>8</v>
      </c>
      <c r="AN17" s="26">
        <v>0.08</v>
      </c>
      <c r="AO17" s="25">
        <v>21</v>
      </c>
      <c r="AP17" s="26">
        <v>0.21</v>
      </c>
    </row>
    <row r="18" spans="1:42" x14ac:dyDescent="0.3">
      <c r="A18" s="3" t="s">
        <v>758</v>
      </c>
      <c r="B18" s="3">
        <v>5</v>
      </c>
      <c r="C18" s="6">
        <v>0.6</v>
      </c>
      <c r="S18" s="3"/>
      <c r="T18" s="3"/>
      <c r="U18" s="3"/>
      <c r="V18" s="3"/>
      <c r="W18" s="3"/>
      <c r="X18" s="3"/>
      <c r="Y18" s="3"/>
      <c r="Z18" s="3"/>
      <c r="AJ18" t="s">
        <v>1176</v>
      </c>
      <c r="AK18" s="25">
        <v>12</v>
      </c>
      <c r="AL18" s="26">
        <v>0.12</v>
      </c>
      <c r="AM18" s="25">
        <v>16</v>
      </c>
      <c r="AN18" s="26">
        <v>0.16</v>
      </c>
      <c r="AO18" s="25">
        <v>28</v>
      </c>
      <c r="AP18" s="26">
        <v>0.28000000000000003</v>
      </c>
    </row>
    <row r="19" spans="1:42" x14ac:dyDescent="0.3">
      <c r="A19" s="3" t="s">
        <v>782</v>
      </c>
      <c r="B19" s="3">
        <v>5</v>
      </c>
      <c r="C19" s="6">
        <v>1</v>
      </c>
      <c r="S19" s="3"/>
      <c r="T19" s="3"/>
      <c r="U19" s="3"/>
      <c r="V19" s="3"/>
      <c r="W19" s="3"/>
      <c r="X19" s="3"/>
      <c r="Y19" s="3"/>
      <c r="Z19" s="3"/>
      <c r="AJ19" t="s">
        <v>1166</v>
      </c>
      <c r="AK19" s="25">
        <v>55</v>
      </c>
      <c r="AL19" s="26">
        <v>0.55000000000000004</v>
      </c>
      <c r="AM19" s="25">
        <v>45</v>
      </c>
      <c r="AN19" s="26">
        <v>0.45</v>
      </c>
      <c r="AO19" s="25">
        <v>100</v>
      </c>
      <c r="AP19" s="26">
        <v>1</v>
      </c>
    </row>
    <row r="20" spans="1:42" x14ac:dyDescent="0.3">
      <c r="A20" s="3" t="s">
        <v>895</v>
      </c>
      <c r="B20" s="3">
        <v>4</v>
      </c>
      <c r="C20" s="6">
        <v>1</v>
      </c>
      <c r="S20" s="3"/>
      <c r="T20" s="3"/>
      <c r="U20" s="3"/>
      <c r="V20" s="3"/>
      <c r="W20" s="3"/>
      <c r="X20" s="3"/>
      <c r="Y20" s="3"/>
      <c r="Z20" s="3"/>
    </row>
    <row r="21" spans="1:42" x14ac:dyDescent="0.3">
      <c r="A21" s="3" t="s">
        <v>776</v>
      </c>
      <c r="B21" s="3">
        <v>4</v>
      </c>
      <c r="C21" s="6">
        <v>1</v>
      </c>
      <c r="S21" s="3"/>
      <c r="T21" s="3"/>
      <c r="U21" s="3"/>
      <c r="V21" s="3"/>
      <c r="W21" s="3"/>
      <c r="X21" s="3"/>
      <c r="Y21" s="3"/>
      <c r="Z21" s="3"/>
      <c r="AK21" s="27" t="s">
        <v>1016</v>
      </c>
      <c r="AL21" s="27" t="s">
        <v>1171</v>
      </c>
    </row>
    <row r="22" spans="1:42" x14ac:dyDescent="0.3">
      <c r="A22" s="3" t="s">
        <v>788</v>
      </c>
      <c r="B22" s="3">
        <v>3</v>
      </c>
      <c r="C22" s="6">
        <v>1</v>
      </c>
      <c r="S22" s="3"/>
      <c r="T22" s="3"/>
      <c r="U22" s="3"/>
      <c r="V22" s="3"/>
      <c r="W22" s="3"/>
      <c r="X22" s="3"/>
      <c r="Y22" s="3"/>
      <c r="Z22" s="3"/>
      <c r="AK22" t="s">
        <v>1026</v>
      </c>
      <c r="AM22" t="s">
        <v>1031</v>
      </c>
      <c r="AO22" t="s">
        <v>1167</v>
      </c>
      <c r="AP22" t="s">
        <v>1169</v>
      </c>
    </row>
    <row r="23" spans="1:42" x14ac:dyDescent="0.3">
      <c r="A23" s="3" t="s">
        <v>810</v>
      </c>
      <c r="B23" s="3">
        <v>3</v>
      </c>
      <c r="C23" s="6">
        <v>0.66666666666666663</v>
      </c>
      <c r="S23" s="3"/>
      <c r="T23" s="3"/>
      <c r="U23" s="3"/>
      <c r="V23" s="3"/>
      <c r="W23" s="3"/>
      <c r="X23" s="3"/>
      <c r="Y23" s="3"/>
      <c r="Z23" s="3"/>
      <c r="AJ23" s="27" t="s">
        <v>1019</v>
      </c>
      <c r="AK23" t="s">
        <v>1168</v>
      </c>
      <c r="AL23" t="s">
        <v>1170</v>
      </c>
      <c r="AM23" t="s">
        <v>1168</v>
      </c>
      <c r="AN23" t="s">
        <v>1170</v>
      </c>
    </row>
    <row r="24" spans="1:42" x14ac:dyDescent="0.3">
      <c r="A24" s="3" t="s">
        <v>746</v>
      </c>
      <c r="B24" s="3">
        <v>3</v>
      </c>
      <c r="C24" s="6">
        <v>0</v>
      </c>
      <c r="S24" s="3"/>
      <c r="T24" s="3"/>
      <c r="U24" s="3"/>
      <c r="V24" s="3"/>
      <c r="W24" s="3"/>
      <c r="X24" s="3"/>
      <c r="Y24" s="3"/>
      <c r="Z24" s="3"/>
      <c r="AJ24" t="s">
        <v>1172</v>
      </c>
      <c r="AK24" s="25">
        <v>13</v>
      </c>
      <c r="AL24" s="26">
        <v>0.13</v>
      </c>
      <c r="AM24" s="25">
        <v>13</v>
      </c>
      <c r="AN24" s="26">
        <v>0.13</v>
      </c>
      <c r="AO24" s="25">
        <v>26</v>
      </c>
      <c r="AP24" s="26">
        <v>0.26</v>
      </c>
    </row>
    <row r="25" spans="1:42" x14ac:dyDescent="0.3">
      <c r="A25" s="3" t="s">
        <v>764</v>
      </c>
      <c r="B25" s="3">
        <v>3</v>
      </c>
      <c r="C25" s="6">
        <v>1</v>
      </c>
      <c r="G25" t="s">
        <v>1158</v>
      </c>
      <c r="S25" s="3"/>
      <c r="T25" s="3"/>
      <c r="U25" s="3"/>
      <c r="V25" s="3"/>
      <c r="W25" s="3"/>
      <c r="X25" s="3"/>
      <c r="Y25" s="3"/>
      <c r="Z25" s="3"/>
      <c r="AJ25" t="s">
        <v>1173</v>
      </c>
      <c r="AK25" s="25">
        <v>10</v>
      </c>
      <c r="AL25" s="26">
        <v>0.1</v>
      </c>
      <c r="AM25" s="25">
        <v>10</v>
      </c>
      <c r="AN25" s="26">
        <v>0.1</v>
      </c>
      <c r="AO25" s="25">
        <v>20</v>
      </c>
      <c r="AP25" s="26">
        <v>0.2</v>
      </c>
    </row>
    <row r="26" spans="1:42" x14ac:dyDescent="0.3">
      <c r="A26" s="3" t="s">
        <v>770</v>
      </c>
      <c r="B26" s="3">
        <v>3</v>
      </c>
      <c r="C26" s="6">
        <v>1</v>
      </c>
      <c r="S26" s="3"/>
      <c r="T26" s="3"/>
      <c r="U26" s="3"/>
      <c r="V26" s="3"/>
      <c r="W26" s="3"/>
      <c r="X26" s="3"/>
      <c r="Y26" s="3"/>
      <c r="Z26" s="3"/>
      <c r="AJ26" t="s">
        <v>1174</v>
      </c>
      <c r="AK26" s="25">
        <v>11</v>
      </c>
      <c r="AL26" s="26">
        <v>0.11</v>
      </c>
      <c r="AM26" s="25">
        <v>8</v>
      </c>
      <c r="AN26" s="26">
        <v>0.08</v>
      </c>
      <c r="AO26" s="25">
        <v>19</v>
      </c>
      <c r="AP26" s="26">
        <v>0.19</v>
      </c>
    </row>
    <row r="27" spans="1:42" x14ac:dyDescent="0.3">
      <c r="A27" s="3" t="s">
        <v>822</v>
      </c>
      <c r="B27" s="3">
        <v>2</v>
      </c>
      <c r="C27" s="6">
        <v>0.5</v>
      </c>
      <c r="S27" s="3"/>
      <c r="T27" s="3"/>
      <c r="U27" s="3"/>
      <c r="V27" s="3"/>
      <c r="W27" s="3"/>
      <c r="X27" s="3"/>
      <c r="Y27" s="3"/>
      <c r="Z27" s="3"/>
      <c r="AJ27" t="s">
        <v>1175</v>
      </c>
      <c r="AK27" s="25">
        <v>11</v>
      </c>
      <c r="AL27" s="26">
        <v>0.11</v>
      </c>
      <c r="AM27" s="25">
        <v>7</v>
      </c>
      <c r="AN27" s="26">
        <v>7.0000000000000007E-2</v>
      </c>
      <c r="AO27" s="25">
        <v>18</v>
      </c>
      <c r="AP27" s="26">
        <v>0.18</v>
      </c>
    </row>
    <row r="28" spans="1:42" x14ac:dyDescent="0.3">
      <c r="A28" s="3" t="s">
        <v>834</v>
      </c>
      <c r="B28" s="3">
        <v>2</v>
      </c>
      <c r="C28" s="6">
        <v>0.5</v>
      </c>
      <c r="S28" s="3"/>
      <c r="T28" s="3"/>
      <c r="U28" s="3"/>
      <c r="V28" s="3"/>
      <c r="W28" s="3"/>
      <c r="X28" s="3"/>
      <c r="Y28" s="3"/>
      <c r="Z28" s="3"/>
      <c r="AJ28" t="s">
        <v>1176</v>
      </c>
      <c r="AK28" s="25">
        <v>10</v>
      </c>
      <c r="AL28" s="26">
        <v>0.1</v>
      </c>
      <c r="AM28" s="25">
        <v>7</v>
      </c>
      <c r="AN28" s="26">
        <v>7.0000000000000007E-2</v>
      </c>
      <c r="AO28" s="25">
        <v>17</v>
      </c>
      <c r="AP28" s="26">
        <v>0.17</v>
      </c>
    </row>
    <row r="29" spans="1:42" x14ac:dyDescent="0.3">
      <c r="A29" s="3" t="s">
        <v>877</v>
      </c>
      <c r="B29" s="3">
        <v>2</v>
      </c>
      <c r="C29" s="6">
        <v>1</v>
      </c>
      <c r="S29" s="3"/>
      <c r="T29" s="3"/>
      <c r="U29" s="3"/>
      <c r="V29" s="3"/>
      <c r="W29" s="3"/>
      <c r="X29" s="3"/>
      <c r="Y29" s="3"/>
      <c r="Z29" s="3"/>
      <c r="AJ29" t="s">
        <v>1166</v>
      </c>
      <c r="AK29" s="25">
        <v>55</v>
      </c>
      <c r="AL29" s="26">
        <v>0.55000000000000004</v>
      </c>
      <c r="AM29" s="25">
        <v>45</v>
      </c>
      <c r="AN29" s="26">
        <v>0.45</v>
      </c>
      <c r="AO29" s="25">
        <v>100</v>
      </c>
      <c r="AP29" s="26">
        <v>1</v>
      </c>
    </row>
    <row r="30" spans="1:42" x14ac:dyDescent="0.3">
      <c r="A30" s="3" t="s">
        <v>901</v>
      </c>
      <c r="B30" s="3">
        <v>2</v>
      </c>
      <c r="C30" s="6">
        <v>1</v>
      </c>
      <c r="S30" s="3"/>
      <c r="T30" s="3"/>
      <c r="U30" s="3"/>
      <c r="V30" s="3"/>
      <c r="W30" s="3"/>
      <c r="X30" s="3"/>
      <c r="Y30" s="3"/>
      <c r="Z30" s="3"/>
    </row>
    <row r="31" spans="1:42" x14ac:dyDescent="0.3">
      <c r="A31" s="3" t="s">
        <v>941</v>
      </c>
      <c r="B31" s="3">
        <v>2</v>
      </c>
      <c r="C31" s="6">
        <v>1</v>
      </c>
      <c r="S31" s="3"/>
      <c r="T31" s="3"/>
      <c r="U31" s="3"/>
      <c r="V31" s="3"/>
      <c r="W31" s="3"/>
      <c r="X31" s="3"/>
      <c r="Y31" s="3"/>
      <c r="Z31" s="3"/>
      <c r="AK31" s="27" t="s">
        <v>1016</v>
      </c>
      <c r="AL31" s="27" t="s">
        <v>1171</v>
      </c>
    </row>
    <row r="32" spans="1:42" x14ac:dyDescent="0.3">
      <c r="A32" s="3" t="s">
        <v>794</v>
      </c>
      <c r="B32" s="3">
        <v>1</v>
      </c>
      <c r="C32" s="6">
        <v>0</v>
      </c>
      <c r="S32" s="3"/>
      <c r="T32" s="3"/>
      <c r="U32" s="3"/>
      <c r="V32" s="3"/>
      <c r="W32" s="3"/>
      <c r="X32" s="3"/>
      <c r="Y32" s="3"/>
      <c r="Z32" s="3"/>
      <c r="AK32" t="s">
        <v>1026</v>
      </c>
      <c r="AM32" t="s">
        <v>1031</v>
      </c>
      <c r="AO32" t="s">
        <v>1167</v>
      </c>
      <c r="AP32" t="s">
        <v>1169</v>
      </c>
    </row>
    <row r="33" spans="1:42" x14ac:dyDescent="0.3">
      <c r="A33" s="3" t="s">
        <v>816</v>
      </c>
      <c r="B33" s="3">
        <v>1</v>
      </c>
      <c r="C33" s="6">
        <v>0</v>
      </c>
      <c r="S33" s="3"/>
      <c r="T33" s="3"/>
      <c r="U33" s="3"/>
      <c r="V33" s="3"/>
      <c r="W33" s="3"/>
      <c r="X33" s="3"/>
      <c r="Y33" s="3"/>
      <c r="Z33" s="3"/>
      <c r="AJ33" s="27" t="s">
        <v>1020</v>
      </c>
      <c r="AK33" t="s">
        <v>1168</v>
      </c>
      <c r="AL33" t="s">
        <v>1170</v>
      </c>
      <c r="AM33" t="s">
        <v>1168</v>
      </c>
      <c r="AN33" t="s">
        <v>1170</v>
      </c>
    </row>
    <row r="34" spans="1:42" x14ac:dyDescent="0.3">
      <c r="A34" s="3" t="s">
        <v>860</v>
      </c>
      <c r="B34" s="3">
        <v>1</v>
      </c>
      <c r="C34" s="6">
        <v>1</v>
      </c>
      <c r="S34" s="3"/>
      <c r="T34" s="3"/>
      <c r="U34" s="3"/>
      <c r="V34" s="3"/>
      <c r="W34" s="3"/>
      <c r="X34" s="3"/>
      <c r="Y34" s="3"/>
      <c r="Z34" s="3"/>
      <c r="AJ34" t="s">
        <v>1172</v>
      </c>
      <c r="AK34" s="25">
        <v>11</v>
      </c>
      <c r="AL34" s="26">
        <v>0.11</v>
      </c>
      <c r="AM34" s="25">
        <v>8</v>
      </c>
      <c r="AN34" s="26">
        <v>0.08</v>
      </c>
      <c r="AO34" s="25">
        <v>19</v>
      </c>
      <c r="AP34" s="26">
        <v>0.19</v>
      </c>
    </row>
    <row r="35" spans="1:42" x14ac:dyDescent="0.3">
      <c r="A35" s="3" t="s">
        <v>883</v>
      </c>
      <c r="B35" s="3">
        <v>1</v>
      </c>
      <c r="C35" s="6">
        <v>1</v>
      </c>
      <c r="S35" s="3"/>
      <c r="T35" s="3"/>
      <c r="U35" s="3"/>
      <c r="V35" s="3"/>
      <c r="W35" s="3"/>
      <c r="X35" s="3"/>
      <c r="Y35" s="3"/>
      <c r="Z35" s="3"/>
      <c r="AJ35" t="s">
        <v>1173</v>
      </c>
      <c r="AK35" s="25">
        <v>13</v>
      </c>
      <c r="AL35" s="26">
        <v>0.13</v>
      </c>
      <c r="AM35" s="25">
        <v>9</v>
      </c>
      <c r="AN35" s="26">
        <v>0.09</v>
      </c>
      <c r="AO35" s="25">
        <v>22</v>
      </c>
      <c r="AP35" s="26">
        <v>0.22</v>
      </c>
    </row>
    <row r="36" spans="1:42" x14ac:dyDescent="0.3">
      <c r="A36" s="3" t="s">
        <v>907</v>
      </c>
      <c r="B36" s="3">
        <v>1</v>
      </c>
      <c r="C36" s="6">
        <v>0</v>
      </c>
      <c r="S36" s="3"/>
      <c r="T36" s="3"/>
      <c r="U36" s="3"/>
      <c r="V36" s="3"/>
      <c r="W36" s="3"/>
      <c r="X36" s="3"/>
      <c r="Y36" s="3"/>
      <c r="Z36" s="3"/>
      <c r="AJ36" t="s">
        <v>1174</v>
      </c>
      <c r="AK36" s="25">
        <v>11</v>
      </c>
      <c r="AL36" s="26">
        <v>0.11</v>
      </c>
      <c r="AM36" s="25">
        <v>8</v>
      </c>
      <c r="AN36" s="26">
        <v>0.08</v>
      </c>
      <c r="AO36" s="25">
        <v>19</v>
      </c>
      <c r="AP36" s="26">
        <v>0.19</v>
      </c>
    </row>
    <row r="37" spans="1:42" x14ac:dyDescent="0.3">
      <c r="A37" s="3" t="s">
        <v>919</v>
      </c>
      <c r="B37" s="3">
        <v>1</v>
      </c>
      <c r="C37" s="6">
        <v>1</v>
      </c>
      <c r="S37" s="3"/>
      <c r="T37" s="3"/>
      <c r="U37" s="3"/>
      <c r="V37" s="3"/>
      <c r="W37" s="3"/>
      <c r="X37" s="3"/>
      <c r="Y37" s="3"/>
      <c r="Z37" s="3"/>
      <c r="AJ37" t="s">
        <v>1175</v>
      </c>
      <c r="AK37" s="25">
        <v>8</v>
      </c>
      <c r="AL37" s="26">
        <v>0.08</v>
      </c>
      <c r="AM37" s="25">
        <v>8</v>
      </c>
      <c r="AN37" s="26">
        <v>0.08</v>
      </c>
      <c r="AO37" s="25">
        <v>16</v>
      </c>
      <c r="AP37" s="26">
        <v>0.16</v>
      </c>
    </row>
    <row r="38" spans="1:42" x14ac:dyDescent="0.3">
      <c r="A38" s="3" t="s">
        <v>800</v>
      </c>
      <c r="B38" s="3">
        <v>0</v>
      </c>
      <c r="C38" s="6">
        <v>0</v>
      </c>
      <c r="S38" s="3"/>
      <c r="T38" s="3"/>
      <c r="U38" s="3"/>
      <c r="V38" s="3"/>
      <c r="W38" s="3"/>
      <c r="X38" s="3"/>
      <c r="Y38" s="3"/>
      <c r="Z38" s="3"/>
      <c r="AJ38" t="s">
        <v>1176</v>
      </c>
      <c r="AK38" s="25">
        <v>12</v>
      </c>
      <c r="AL38" s="26">
        <v>0.12</v>
      </c>
      <c r="AM38" s="25">
        <v>12</v>
      </c>
      <c r="AN38" s="26">
        <v>0.12</v>
      </c>
      <c r="AO38" s="25">
        <v>24</v>
      </c>
      <c r="AP38" s="26">
        <v>0.24</v>
      </c>
    </row>
    <row r="39" spans="1:42" x14ac:dyDescent="0.3">
      <c r="A39" s="3" t="s">
        <v>804</v>
      </c>
      <c r="B39" s="3">
        <v>0</v>
      </c>
      <c r="C39" s="6">
        <v>0</v>
      </c>
      <c r="S39" s="3"/>
      <c r="T39" s="3"/>
      <c r="U39" s="3"/>
      <c r="V39" s="3"/>
      <c r="W39" s="3"/>
      <c r="X39" s="3"/>
      <c r="Y39" s="3"/>
      <c r="Z39" s="3"/>
      <c r="AJ39" t="s">
        <v>1166</v>
      </c>
      <c r="AK39" s="25">
        <v>55</v>
      </c>
      <c r="AL39" s="26">
        <v>0.55000000000000004</v>
      </c>
      <c r="AM39" s="25">
        <v>45</v>
      </c>
      <c r="AN39" s="26">
        <v>0.45</v>
      </c>
      <c r="AO39" s="25">
        <v>100</v>
      </c>
      <c r="AP39" s="26">
        <v>1</v>
      </c>
    </row>
    <row r="40" spans="1:42" x14ac:dyDescent="0.3">
      <c r="A40" s="3" t="s">
        <v>828</v>
      </c>
      <c r="B40" s="3">
        <v>0</v>
      </c>
      <c r="C40" s="6">
        <v>0</v>
      </c>
      <c r="S40" s="3"/>
      <c r="T40" s="3"/>
      <c r="U40" s="3"/>
      <c r="V40" s="3"/>
      <c r="W40" s="3"/>
      <c r="X40" s="3"/>
      <c r="Y40" s="3"/>
      <c r="Z40" s="3"/>
    </row>
    <row r="41" spans="1:42" x14ac:dyDescent="0.3">
      <c r="A41" s="3" t="s">
        <v>846</v>
      </c>
      <c r="B41" s="3">
        <v>0</v>
      </c>
      <c r="C41" s="6">
        <v>0</v>
      </c>
      <c r="S41" s="3"/>
      <c r="T41" s="3"/>
      <c r="U41" s="3"/>
      <c r="V41" s="3"/>
      <c r="W41" s="3"/>
      <c r="X41" s="3"/>
      <c r="Y41" s="3"/>
      <c r="Z41" s="3"/>
      <c r="AK41" s="27" t="s">
        <v>1016</v>
      </c>
      <c r="AL41" s="27" t="s">
        <v>1171</v>
      </c>
    </row>
    <row r="42" spans="1:42" x14ac:dyDescent="0.3">
      <c r="A42" s="3" t="s">
        <v>852</v>
      </c>
      <c r="B42" s="3">
        <v>0</v>
      </c>
      <c r="C42" s="6">
        <v>0</v>
      </c>
      <c r="S42" s="3"/>
      <c r="T42" s="3"/>
      <c r="U42" s="3"/>
      <c r="V42" s="3"/>
      <c r="W42" s="3"/>
      <c r="X42" s="3"/>
      <c r="Y42" s="3"/>
      <c r="Z42" s="3"/>
      <c r="AK42" t="s">
        <v>1026</v>
      </c>
      <c r="AM42" t="s">
        <v>1031</v>
      </c>
      <c r="AO42" t="s">
        <v>1167</v>
      </c>
      <c r="AP42" t="s">
        <v>1169</v>
      </c>
    </row>
    <row r="43" spans="1:42" x14ac:dyDescent="0.3">
      <c r="A43" s="3" t="s">
        <v>866</v>
      </c>
      <c r="B43" s="3">
        <v>0</v>
      </c>
      <c r="C43" s="6">
        <v>0</v>
      </c>
      <c r="S43" s="3"/>
      <c r="T43" s="3"/>
      <c r="U43" s="3"/>
      <c r="V43" s="3"/>
      <c r="W43" s="3"/>
      <c r="X43" s="3"/>
      <c r="Y43" s="3"/>
      <c r="Z43" s="3"/>
      <c r="AJ43" s="27" t="s">
        <v>1021</v>
      </c>
      <c r="AK43" t="s">
        <v>1168</v>
      </c>
      <c r="AL43" t="s">
        <v>1170</v>
      </c>
      <c r="AM43" t="s">
        <v>1168</v>
      </c>
      <c r="AN43" t="s">
        <v>1170</v>
      </c>
    </row>
    <row r="44" spans="1:42" x14ac:dyDescent="0.3">
      <c r="A44" s="3" t="s">
        <v>889</v>
      </c>
      <c r="B44" s="3">
        <v>0</v>
      </c>
      <c r="C44" s="6">
        <v>0</v>
      </c>
      <c r="S44" s="3"/>
      <c r="T44" s="3"/>
      <c r="U44" s="3"/>
      <c r="V44" s="3"/>
      <c r="W44" s="3"/>
      <c r="X44" s="3"/>
      <c r="Y44" s="3"/>
      <c r="Z44" s="3"/>
      <c r="AJ44" t="s">
        <v>1172</v>
      </c>
      <c r="AK44" s="25">
        <v>7</v>
      </c>
      <c r="AL44" s="26">
        <v>7.0000000000000007E-2</v>
      </c>
      <c r="AM44" s="25">
        <v>10</v>
      </c>
      <c r="AN44" s="26">
        <v>0.1</v>
      </c>
      <c r="AO44" s="25">
        <v>17</v>
      </c>
      <c r="AP44" s="26">
        <v>0.17</v>
      </c>
    </row>
    <row r="45" spans="1:42" x14ac:dyDescent="0.3">
      <c r="A45" s="3" t="s">
        <v>913</v>
      </c>
      <c r="B45" s="3">
        <v>0</v>
      </c>
      <c r="C45" s="6">
        <v>0</v>
      </c>
      <c r="S45" s="3"/>
      <c r="T45" s="3"/>
      <c r="U45" s="3"/>
      <c r="V45" s="3"/>
      <c r="W45" s="3"/>
      <c r="X45" s="3"/>
      <c r="Y45" s="3"/>
      <c r="Z45" s="3"/>
      <c r="AJ45" t="s">
        <v>1173</v>
      </c>
      <c r="AK45" s="25">
        <v>12</v>
      </c>
      <c r="AL45" s="26">
        <v>0.12</v>
      </c>
      <c r="AM45" s="25">
        <v>8</v>
      </c>
      <c r="AN45" s="26">
        <v>0.08</v>
      </c>
      <c r="AO45" s="25">
        <v>20</v>
      </c>
      <c r="AP45" s="26">
        <v>0.2</v>
      </c>
    </row>
    <row r="46" spans="1:42" x14ac:dyDescent="0.3">
      <c r="A46" s="3" t="s">
        <v>934</v>
      </c>
      <c r="B46" s="3">
        <v>0</v>
      </c>
      <c r="C46" s="6">
        <v>0</v>
      </c>
      <c r="S46" s="3"/>
      <c r="T46" s="3"/>
      <c r="U46" s="3"/>
      <c r="V46" s="3"/>
      <c r="W46" s="3"/>
      <c r="X46" s="3"/>
      <c r="Y46" s="3"/>
      <c r="Z46" s="3"/>
      <c r="AJ46" t="s">
        <v>1174</v>
      </c>
      <c r="AK46" s="25">
        <v>10</v>
      </c>
      <c r="AL46" s="26">
        <v>0.1</v>
      </c>
      <c r="AM46" s="25">
        <v>6</v>
      </c>
      <c r="AN46" s="26">
        <v>0.06</v>
      </c>
      <c r="AO46" s="25">
        <v>16</v>
      </c>
      <c r="AP46" s="26">
        <v>0.16</v>
      </c>
    </row>
    <row r="47" spans="1:42" x14ac:dyDescent="0.3">
      <c r="A47" s="5" t="s">
        <v>947</v>
      </c>
      <c r="B47" s="3">
        <v>0</v>
      </c>
      <c r="C47" s="6">
        <v>0</v>
      </c>
      <c r="S47" s="3"/>
      <c r="T47" s="3"/>
      <c r="U47" s="3"/>
      <c r="V47" s="3"/>
      <c r="W47" s="3"/>
      <c r="X47" s="3"/>
      <c r="Y47" s="3"/>
      <c r="Z47" s="3"/>
      <c r="AJ47" t="s">
        <v>1175</v>
      </c>
      <c r="AK47" s="25">
        <v>14</v>
      </c>
      <c r="AL47" s="26">
        <v>0.14000000000000001</v>
      </c>
      <c r="AM47" s="25">
        <v>7</v>
      </c>
      <c r="AN47" s="26">
        <v>7.0000000000000007E-2</v>
      </c>
      <c r="AO47" s="25">
        <v>21</v>
      </c>
      <c r="AP47" s="26">
        <v>0.21</v>
      </c>
    </row>
    <row r="48" spans="1:42" x14ac:dyDescent="0.3">
      <c r="S48" s="3"/>
      <c r="T48" s="3"/>
      <c r="U48" s="3"/>
      <c r="V48" s="3"/>
      <c r="W48" s="3"/>
      <c r="X48" s="3"/>
      <c r="Y48" s="3"/>
      <c r="Z48" s="3"/>
      <c r="AJ48" t="s">
        <v>1176</v>
      </c>
      <c r="AK48" s="25">
        <v>12</v>
      </c>
      <c r="AL48" s="26">
        <v>0.12</v>
      </c>
      <c r="AM48" s="25">
        <v>14</v>
      </c>
      <c r="AN48" s="26">
        <v>0.14000000000000001</v>
      </c>
      <c r="AO48" s="25">
        <v>26</v>
      </c>
      <c r="AP48" s="26">
        <v>0.26</v>
      </c>
    </row>
    <row r="49" spans="19:42" x14ac:dyDescent="0.3">
      <c r="S49" s="3"/>
      <c r="T49" s="3"/>
      <c r="U49" s="3"/>
      <c r="V49" s="3"/>
      <c r="W49" s="3"/>
      <c r="X49" s="3"/>
      <c r="Y49" s="3"/>
      <c r="Z49" s="3"/>
      <c r="AJ49" t="s">
        <v>1166</v>
      </c>
      <c r="AK49" s="25">
        <v>55</v>
      </c>
      <c r="AL49" s="26">
        <v>0.55000000000000004</v>
      </c>
      <c r="AM49" s="25">
        <v>45</v>
      </c>
      <c r="AN49" s="26">
        <v>0.45</v>
      </c>
      <c r="AO49" s="25">
        <v>100</v>
      </c>
      <c r="AP49" s="26">
        <v>1</v>
      </c>
    </row>
    <row r="50" spans="19:42" x14ac:dyDescent="0.3">
      <c r="S50" s="3"/>
      <c r="T50" s="3"/>
      <c r="U50" s="3"/>
      <c r="V50" s="3"/>
      <c r="W50" s="3"/>
      <c r="X50" s="3"/>
      <c r="Y50" s="3"/>
      <c r="Z50" s="3"/>
    </row>
    <row r="51" spans="19:42" x14ac:dyDescent="0.3">
      <c r="S51" s="3"/>
      <c r="T51" s="3"/>
      <c r="U51" s="3"/>
      <c r="V51" s="3"/>
      <c r="W51" s="3"/>
      <c r="X51" s="3"/>
      <c r="Y51" s="3"/>
      <c r="Z51" s="3"/>
      <c r="AK51" s="27" t="s">
        <v>1016</v>
      </c>
      <c r="AL51" s="27" t="s">
        <v>1171</v>
      </c>
    </row>
    <row r="52" spans="19:42" x14ac:dyDescent="0.3">
      <c r="S52" s="3"/>
      <c r="T52" s="3"/>
      <c r="U52" s="3"/>
      <c r="V52" s="3"/>
      <c r="W52" s="3"/>
      <c r="X52" s="3"/>
      <c r="Y52" s="3"/>
      <c r="Z52" s="3"/>
      <c r="AK52" t="s">
        <v>1026</v>
      </c>
      <c r="AM52" t="s">
        <v>1031</v>
      </c>
      <c r="AO52" t="s">
        <v>1167</v>
      </c>
      <c r="AP52" t="s">
        <v>1169</v>
      </c>
    </row>
    <row r="53" spans="19:42" x14ac:dyDescent="0.3">
      <c r="S53" s="3"/>
      <c r="T53" s="3"/>
      <c r="U53" s="3"/>
      <c r="V53" s="3"/>
      <c r="W53" s="3"/>
      <c r="X53" s="3"/>
      <c r="Y53" s="3"/>
      <c r="Z53" s="3"/>
      <c r="AJ53" s="27" t="s">
        <v>1022</v>
      </c>
      <c r="AK53" t="s">
        <v>1168</v>
      </c>
      <c r="AL53" t="s">
        <v>1170</v>
      </c>
      <c r="AM53" t="s">
        <v>1168</v>
      </c>
      <c r="AN53" t="s">
        <v>1170</v>
      </c>
    </row>
    <row r="54" spans="19:42" x14ac:dyDescent="0.3">
      <c r="S54" s="3"/>
      <c r="T54" s="3"/>
      <c r="U54" s="3"/>
      <c r="V54" s="3"/>
      <c r="W54" s="3"/>
      <c r="X54" s="3"/>
      <c r="Y54" s="3"/>
      <c r="Z54" s="3"/>
      <c r="AJ54" t="s">
        <v>1172</v>
      </c>
      <c r="AK54" s="25">
        <v>11</v>
      </c>
      <c r="AL54" s="26">
        <v>0.11</v>
      </c>
      <c r="AM54" s="25">
        <v>5</v>
      </c>
      <c r="AN54" s="26">
        <v>0.05</v>
      </c>
      <c r="AO54" s="25">
        <v>16</v>
      </c>
      <c r="AP54" s="26">
        <v>0.16</v>
      </c>
    </row>
    <row r="55" spans="19:42" x14ac:dyDescent="0.3">
      <c r="S55" s="3"/>
      <c r="T55" s="3"/>
      <c r="U55" s="3"/>
      <c r="V55" s="3"/>
      <c r="W55" s="3"/>
      <c r="X55" s="3"/>
      <c r="Y55" s="3"/>
      <c r="Z55" s="3"/>
      <c r="AJ55" t="s">
        <v>1173</v>
      </c>
      <c r="AK55" s="25">
        <v>9</v>
      </c>
      <c r="AL55" s="26">
        <v>0.09</v>
      </c>
      <c r="AM55" s="25">
        <v>12</v>
      </c>
      <c r="AN55" s="26">
        <v>0.12</v>
      </c>
      <c r="AO55" s="25">
        <v>21</v>
      </c>
      <c r="AP55" s="26">
        <v>0.21</v>
      </c>
    </row>
    <row r="56" spans="19:42" x14ac:dyDescent="0.3">
      <c r="S56" s="3"/>
      <c r="T56" s="3"/>
      <c r="U56" s="6"/>
      <c r="V56" s="6"/>
      <c r="W56" s="6"/>
      <c r="X56" s="6"/>
      <c r="Y56" s="3"/>
      <c r="Z56" s="3"/>
      <c r="AJ56" t="s">
        <v>1174</v>
      </c>
      <c r="AK56" s="25">
        <v>16</v>
      </c>
      <c r="AL56" s="26">
        <v>0.16</v>
      </c>
      <c r="AM56" s="25">
        <v>7</v>
      </c>
      <c r="AN56" s="26">
        <v>7.0000000000000007E-2</v>
      </c>
      <c r="AO56" s="25">
        <v>23</v>
      </c>
      <c r="AP56" s="26">
        <v>0.23</v>
      </c>
    </row>
    <row r="57" spans="19:42" x14ac:dyDescent="0.3">
      <c r="S57" s="3"/>
      <c r="T57" s="3"/>
      <c r="U57" s="3"/>
      <c r="V57" s="3"/>
      <c r="W57" s="3"/>
      <c r="X57" s="3"/>
      <c r="Y57" s="3"/>
      <c r="Z57" s="3"/>
      <c r="AJ57" t="s">
        <v>1175</v>
      </c>
      <c r="AK57" s="25">
        <v>11</v>
      </c>
      <c r="AL57" s="26">
        <v>0.11</v>
      </c>
      <c r="AM57" s="25">
        <v>11</v>
      </c>
      <c r="AN57" s="26">
        <v>0.11</v>
      </c>
      <c r="AO57" s="25">
        <v>22</v>
      </c>
      <c r="AP57" s="26">
        <v>0.22</v>
      </c>
    </row>
    <row r="58" spans="19:42" x14ac:dyDescent="0.3">
      <c r="S58" s="3"/>
      <c r="T58" s="3"/>
      <c r="U58" s="3"/>
      <c r="V58" s="3"/>
      <c r="W58" s="3"/>
      <c r="X58" s="3"/>
      <c r="Y58" s="3"/>
      <c r="Z58" s="3"/>
      <c r="AJ58" t="s">
        <v>1176</v>
      </c>
      <c r="AK58" s="25">
        <v>8</v>
      </c>
      <c r="AL58" s="26">
        <v>0.08</v>
      </c>
      <c r="AM58" s="25">
        <v>10</v>
      </c>
      <c r="AN58" s="26">
        <v>0.1</v>
      </c>
      <c r="AO58" s="25">
        <v>18</v>
      </c>
      <c r="AP58" s="26">
        <v>0.18</v>
      </c>
    </row>
    <row r="59" spans="19:42" x14ac:dyDescent="0.3">
      <c r="S59" s="3"/>
      <c r="T59" s="3"/>
      <c r="U59" s="3"/>
      <c r="V59" s="3"/>
      <c r="W59" s="3"/>
      <c r="X59" s="3"/>
      <c r="Y59" s="3"/>
      <c r="Z59" s="3"/>
      <c r="AJ59" t="s">
        <v>1166</v>
      </c>
      <c r="AK59" s="25">
        <v>55</v>
      </c>
      <c r="AL59" s="26">
        <v>0.55000000000000004</v>
      </c>
      <c r="AM59" s="25">
        <v>45</v>
      </c>
      <c r="AN59" s="26">
        <v>0.45</v>
      </c>
      <c r="AO59" s="25">
        <v>100</v>
      </c>
      <c r="AP59" s="26">
        <v>1</v>
      </c>
    </row>
    <row r="60" spans="19:42" x14ac:dyDescent="0.3">
      <c r="S60" s="3"/>
      <c r="T60" s="3"/>
      <c r="U60" s="3"/>
      <c r="V60" s="3"/>
      <c r="W60" s="3"/>
      <c r="X60" s="3"/>
      <c r="Y60" s="3"/>
      <c r="Z60" s="3"/>
    </row>
    <row r="61" spans="19:42" x14ac:dyDescent="0.3">
      <c r="S61" s="3"/>
      <c r="T61" s="3"/>
      <c r="U61" s="3"/>
      <c r="V61" s="3"/>
      <c r="W61" s="3"/>
      <c r="X61" s="3"/>
      <c r="Y61" s="3"/>
      <c r="Z61" s="3"/>
      <c r="AK61" s="27" t="s">
        <v>1016</v>
      </c>
      <c r="AL61" s="27" t="s">
        <v>1171</v>
      </c>
    </row>
    <row r="62" spans="19:42" x14ac:dyDescent="0.3">
      <c r="S62" s="3"/>
      <c r="T62" s="3"/>
      <c r="U62" s="3"/>
      <c r="V62" s="3"/>
      <c r="W62" s="3"/>
      <c r="X62" s="3"/>
      <c r="Y62" s="3"/>
      <c r="Z62" s="3"/>
      <c r="AK62" t="s">
        <v>1026</v>
      </c>
      <c r="AM62" t="s">
        <v>1031</v>
      </c>
      <c r="AO62" t="s">
        <v>1167</v>
      </c>
      <c r="AP62" t="s">
        <v>1169</v>
      </c>
    </row>
    <row r="63" spans="19:42" x14ac:dyDescent="0.3">
      <c r="S63" s="3"/>
      <c r="T63" s="3"/>
      <c r="U63" s="3"/>
      <c r="V63" s="3"/>
      <c r="W63" s="3"/>
      <c r="X63" s="3"/>
      <c r="Y63" s="3"/>
      <c r="Z63" s="3"/>
      <c r="AJ63" s="27" t="s">
        <v>1023</v>
      </c>
      <c r="AK63" t="s">
        <v>1168</v>
      </c>
      <c r="AL63" t="s">
        <v>1170</v>
      </c>
      <c r="AM63" t="s">
        <v>1168</v>
      </c>
      <c r="AN63" t="s">
        <v>1170</v>
      </c>
    </row>
    <row r="64" spans="19:42" x14ac:dyDescent="0.3">
      <c r="S64" s="3"/>
      <c r="T64" s="3"/>
      <c r="U64" s="3"/>
      <c r="V64" s="3"/>
      <c r="W64" s="3"/>
      <c r="X64" s="3"/>
      <c r="Y64" s="3"/>
      <c r="Z64" s="3"/>
      <c r="AJ64" t="s">
        <v>1172</v>
      </c>
      <c r="AK64" s="25">
        <v>13</v>
      </c>
      <c r="AL64" s="26">
        <v>0.13</v>
      </c>
      <c r="AM64" s="25">
        <v>6</v>
      </c>
      <c r="AN64" s="26">
        <v>0.06</v>
      </c>
      <c r="AO64" s="25">
        <v>19</v>
      </c>
      <c r="AP64" s="26">
        <v>0.19</v>
      </c>
    </row>
    <row r="65" spans="19:42" x14ac:dyDescent="0.3">
      <c r="S65" s="3"/>
      <c r="T65" s="3"/>
      <c r="U65" s="3"/>
      <c r="V65" s="3"/>
      <c r="W65" s="3"/>
      <c r="X65" s="3"/>
      <c r="Y65" s="3"/>
      <c r="Z65" s="3"/>
      <c r="AJ65" t="s">
        <v>1173</v>
      </c>
      <c r="AK65" s="25">
        <v>10</v>
      </c>
      <c r="AL65" s="26">
        <v>0.1</v>
      </c>
      <c r="AM65" s="25">
        <v>9</v>
      </c>
      <c r="AN65" s="26">
        <v>0.09</v>
      </c>
      <c r="AO65" s="25">
        <v>19</v>
      </c>
      <c r="AP65" s="26">
        <v>0.19</v>
      </c>
    </row>
    <row r="66" spans="19:42" x14ac:dyDescent="0.3">
      <c r="S66" s="3"/>
      <c r="T66" s="3"/>
      <c r="U66" s="3"/>
      <c r="V66" s="3"/>
      <c r="W66" s="3"/>
      <c r="X66" s="3"/>
      <c r="Y66" s="3"/>
      <c r="Z66" s="3"/>
      <c r="AJ66" t="s">
        <v>1174</v>
      </c>
      <c r="AK66" s="25">
        <v>6</v>
      </c>
      <c r="AL66" s="26">
        <v>0.06</v>
      </c>
      <c r="AM66" s="25">
        <v>9</v>
      </c>
      <c r="AN66" s="26">
        <v>0.09</v>
      </c>
      <c r="AO66" s="25">
        <v>15</v>
      </c>
      <c r="AP66" s="26">
        <v>0.15</v>
      </c>
    </row>
    <row r="67" spans="19:42" x14ac:dyDescent="0.3">
      <c r="S67" s="3"/>
      <c r="T67" s="3"/>
      <c r="U67" s="3"/>
      <c r="V67" s="3"/>
      <c r="W67" s="3"/>
      <c r="X67" s="3"/>
      <c r="Y67" s="3"/>
      <c r="Z67" s="3"/>
      <c r="AJ67" t="s">
        <v>1175</v>
      </c>
      <c r="AK67" s="25">
        <v>12</v>
      </c>
      <c r="AL67" s="26">
        <v>0.12</v>
      </c>
      <c r="AM67" s="25">
        <v>11</v>
      </c>
      <c r="AN67" s="26">
        <v>0.11</v>
      </c>
      <c r="AO67" s="25">
        <v>23</v>
      </c>
      <c r="AP67" s="26">
        <v>0.23</v>
      </c>
    </row>
    <row r="68" spans="19:42" x14ac:dyDescent="0.3">
      <c r="S68" s="3"/>
      <c r="T68" s="3"/>
      <c r="U68" s="3"/>
      <c r="V68" s="3"/>
      <c r="W68" s="3"/>
      <c r="X68" s="3"/>
      <c r="Y68" s="3"/>
      <c r="Z68" s="3"/>
      <c r="AJ68" t="s">
        <v>1176</v>
      </c>
      <c r="AK68" s="25">
        <v>14</v>
      </c>
      <c r="AL68" s="26">
        <v>0.14000000000000001</v>
      </c>
      <c r="AM68" s="25">
        <v>10</v>
      </c>
      <c r="AN68" s="26">
        <v>0.1</v>
      </c>
      <c r="AO68" s="25">
        <v>24</v>
      </c>
      <c r="AP68" s="26">
        <v>0.24</v>
      </c>
    </row>
    <row r="69" spans="19:42" x14ac:dyDescent="0.3">
      <c r="S69" s="3"/>
      <c r="T69" s="3"/>
      <c r="U69" s="3"/>
      <c r="V69" s="3"/>
      <c r="W69" s="3"/>
      <c r="X69" s="3"/>
      <c r="Y69" s="3"/>
      <c r="Z69" s="3"/>
      <c r="AJ69" t="s">
        <v>1166</v>
      </c>
      <c r="AK69" s="25">
        <v>55</v>
      </c>
      <c r="AL69" s="26">
        <v>0.55000000000000004</v>
      </c>
      <c r="AM69" s="25">
        <v>45</v>
      </c>
      <c r="AN69" s="26">
        <v>0.45</v>
      </c>
      <c r="AO69" s="25">
        <v>100</v>
      </c>
      <c r="AP69" s="26">
        <v>1</v>
      </c>
    </row>
    <row r="70" spans="19:42" x14ac:dyDescent="0.3">
      <c r="S70" s="3"/>
      <c r="T70" s="3"/>
      <c r="U70" s="3"/>
      <c r="V70" s="3"/>
      <c r="W70" s="3"/>
      <c r="X70" s="3"/>
      <c r="Y70" s="3"/>
      <c r="Z70" s="3"/>
    </row>
    <row r="71" spans="19:42" x14ac:dyDescent="0.3">
      <c r="S71" s="3"/>
      <c r="T71" s="3"/>
      <c r="U71" s="3"/>
      <c r="V71" s="3"/>
      <c r="W71" s="3"/>
      <c r="X71" s="3"/>
      <c r="Y71" s="3"/>
      <c r="Z71" s="3"/>
      <c r="AK71" s="27" t="s">
        <v>1016</v>
      </c>
      <c r="AL71" s="27" t="s">
        <v>1171</v>
      </c>
    </row>
    <row r="72" spans="19:42" x14ac:dyDescent="0.3">
      <c r="S72" s="3"/>
      <c r="T72" s="3"/>
      <c r="U72" s="3"/>
      <c r="V72" s="3"/>
      <c r="W72" s="3"/>
      <c r="X72" s="3"/>
      <c r="Y72" s="3"/>
      <c r="Z72" s="3"/>
      <c r="AK72" t="s">
        <v>1026</v>
      </c>
      <c r="AM72" t="s">
        <v>1031</v>
      </c>
      <c r="AO72" t="s">
        <v>1167</v>
      </c>
      <c r="AP72" t="s">
        <v>1169</v>
      </c>
    </row>
    <row r="73" spans="19:42" x14ac:dyDescent="0.3">
      <c r="S73" s="3"/>
      <c r="T73" s="3"/>
      <c r="U73" s="3"/>
      <c r="V73" s="3"/>
      <c r="W73" s="3"/>
      <c r="X73" s="3"/>
      <c r="Y73" s="3"/>
      <c r="Z73" s="3"/>
      <c r="AJ73" s="27" t="s">
        <v>1024</v>
      </c>
      <c r="AK73" t="s">
        <v>1168</v>
      </c>
      <c r="AL73" t="s">
        <v>1170</v>
      </c>
      <c r="AM73" t="s">
        <v>1168</v>
      </c>
      <c r="AN73" t="s">
        <v>1170</v>
      </c>
    </row>
    <row r="74" spans="19:42" x14ac:dyDescent="0.3">
      <c r="S74" s="3"/>
      <c r="T74" s="3"/>
      <c r="U74" s="3"/>
      <c r="V74" s="3"/>
      <c r="W74" s="3"/>
      <c r="X74" s="3"/>
      <c r="Y74" s="3"/>
      <c r="Z74" s="3"/>
      <c r="AJ74" t="s">
        <v>1172</v>
      </c>
      <c r="AK74" s="25">
        <v>9</v>
      </c>
      <c r="AL74" s="26">
        <v>0.09</v>
      </c>
      <c r="AM74" s="25">
        <v>10</v>
      </c>
      <c r="AN74" s="26">
        <v>0.1</v>
      </c>
      <c r="AO74" s="25">
        <v>19</v>
      </c>
      <c r="AP74" s="26">
        <v>0.19</v>
      </c>
    </row>
    <row r="75" spans="19:42" x14ac:dyDescent="0.3">
      <c r="S75" s="3"/>
      <c r="T75" s="3"/>
      <c r="U75" s="3"/>
      <c r="V75" s="3"/>
      <c r="W75" s="3"/>
      <c r="X75" s="3"/>
      <c r="Y75" s="3"/>
      <c r="Z75" s="3"/>
      <c r="AJ75" t="s">
        <v>1173</v>
      </c>
      <c r="AK75" s="25">
        <v>13</v>
      </c>
      <c r="AL75" s="26">
        <v>0.13</v>
      </c>
      <c r="AM75" s="25">
        <v>8</v>
      </c>
      <c r="AN75" s="26">
        <v>0.08</v>
      </c>
      <c r="AO75" s="25">
        <v>21</v>
      </c>
      <c r="AP75" s="26">
        <v>0.21</v>
      </c>
    </row>
    <row r="76" spans="19:42" x14ac:dyDescent="0.3">
      <c r="S76" s="3"/>
      <c r="T76" s="3"/>
      <c r="U76" s="3"/>
      <c r="V76" s="3"/>
      <c r="W76" s="3"/>
      <c r="X76" s="3"/>
      <c r="Y76" s="3"/>
      <c r="Z76" s="3"/>
      <c r="AJ76" t="s">
        <v>1174</v>
      </c>
      <c r="AK76" s="25">
        <v>8</v>
      </c>
      <c r="AL76" s="26">
        <v>0.08</v>
      </c>
      <c r="AM76" s="25">
        <v>14</v>
      </c>
      <c r="AN76" s="26">
        <v>0.14000000000000001</v>
      </c>
      <c r="AO76" s="25">
        <v>22</v>
      </c>
      <c r="AP76" s="26">
        <v>0.22</v>
      </c>
    </row>
    <row r="77" spans="19:42" x14ac:dyDescent="0.3">
      <c r="S77" s="3"/>
      <c r="T77" s="3"/>
      <c r="U77" s="3"/>
      <c r="V77" s="3"/>
      <c r="W77" s="3"/>
      <c r="X77" s="3"/>
      <c r="Y77" s="3"/>
      <c r="Z77" s="3"/>
      <c r="AJ77" t="s">
        <v>1175</v>
      </c>
      <c r="AK77" s="25">
        <v>11</v>
      </c>
      <c r="AL77" s="26">
        <v>0.11</v>
      </c>
      <c r="AM77" s="25">
        <v>6</v>
      </c>
      <c r="AN77" s="26">
        <v>0.06</v>
      </c>
      <c r="AO77" s="25">
        <v>17</v>
      </c>
      <c r="AP77" s="26">
        <v>0.17</v>
      </c>
    </row>
    <row r="78" spans="19:42" x14ac:dyDescent="0.3">
      <c r="S78" s="3"/>
      <c r="T78" s="3"/>
      <c r="U78" s="3"/>
      <c r="V78" s="3"/>
      <c r="W78" s="3"/>
      <c r="X78" s="3"/>
      <c r="Y78" s="3"/>
      <c r="Z78" s="3"/>
      <c r="AJ78" t="s">
        <v>1176</v>
      </c>
      <c r="AK78" s="25">
        <v>14</v>
      </c>
      <c r="AL78" s="26">
        <v>0.14000000000000001</v>
      </c>
      <c r="AM78" s="25">
        <v>7</v>
      </c>
      <c r="AN78" s="26">
        <v>7.0000000000000007E-2</v>
      </c>
      <c r="AO78" s="25">
        <v>21</v>
      </c>
      <c r="AP78" s="26">
        <v>0.21</v>
      </c>
    </row>
    <row r="79" spans="19:42" x14ac:dyDescent="0.3">
      <c r="S79" s="3"/>
      <c r="T79" s="3"/>
      <c r="U79" s="3"/>
      <c r="V79" s="3"/>
      <c r="W79" s="3"/>
      <c r="X79" s="3"/>
      <c r="Y79" s="3"/>
      <c r="Z79" s="3"/>
      <c r="AJ79" t="s">
        <v>1166</v>
      </c>
      <c r="AK79" s="25">
        <v>55</v>
      </c>
      <c r="AL79" s="26">
        <v>0.55000000000000004</v>
      </c>
      <c r="AM79" s="25">
        <v>45</v>
      </c>
      <c r="AN79" s="26">
        <v>0.45</v>
      </c>
      <c r="AO79" s="25">
        <v>100</v>
      </c>
      <c r="AP79" s="26">
        <v>1</v>
      </c>
    </row>
    <row r="80" spans="19:42" x14ac:dyDescent="0.3">
      <c r="S80" s="3"/>
      <c r="T80" s="3"/>
      <c r="U80" s="3"/>
      <c r="V80" s="3"/>
      <c r="W80" s="3"/>
      <c r="X80" s="3"/>
      <c r="Y80" s="3"/>
      <c r="Z80" s="3"/>
    </row>
    <row r="81" spans="19:26" x14ac:dyDescent="0.3">
      <c r="S81" s="3"/>
      <c r="T81" s="3"/>
      <c r="U81" s="3"/>
      <c r="V81" s="3"/>
      <c r="W81" s="3"/>
      <c r="X81" s="3"/>
      <c r="Y81" s="3"/>
      <c r="Z81" s="3"/>
    </row>
    <row r="82" spans="19:26" x14ac:dyDescent="0.3">
      <c r="S82" s="3"/>
      <c r="T82" s="3"/>
      <c r="U82" s="3"/>
      <c r="V82" s="3"/>
      <c r="W82" s="3"/>
      <c r="X82" s="3"/>
      <c r="Y82" s="3"/>
      <c r="Z82" s="3"/>
    </row>
    <row r="83" spans="19:26" x14ac:dyDescent="0.3">
      <c r="S83" s="3"/>
      <c r="T83" s="3"/>
      <c r="U83" s="3"/>
      <c r="V83" s="3"/>
      <c r="W83" s="3"/>
      <c r="X83" s="3"/>
      <c r="Y83" s="3"/>
      <c r="Z83" s="3"/>
    </row>
    <row r="84" spans="19:26" x14ac:dyDescent="0.3">
      <c r="S84" s="3"/>
      <c r="T84" s="3"/>
      <c r="U84" s="3"/>
      <c r="V84" s="3"/>
      <c r="W84" s="3"/>
      <c r="X84" s="3"/>
      <c r="Y84" s="3"/>
      <c r="Z84" s="3"/>
    </row>
    <row r="85" spans="19:26" x14ac:dyDescent="0.3">
      <c r="S85" s="3"/>
      <c r="T85" s="3"/>
      <c r="U85" s="3"/>
      <c r="V85" s="3"/>
      <c r="W85" s="3"/>
      <c r="X85" s="3"/>
      <c r="Y85" s="3"/>
      <c r="Z85" s="3"/>
    </row>
    <row r="86" spans="19:26" x14ac:dyDescent="0.3">
      <c r="S86" s="3"/>
      <c r="T86" s="3"/>
      <c r="U86" s="3"/>
      <c r="V86" s="3"/>
      <c r="W86" s="3"/>
      <c r="X86" s="3"/>
      <c r="Y86" s="3"/>
      <c r="Z86" s="3"/>
    </row>
    <row r="87" spans="19:26" x14ac:dyDescent="0.3">
      <c r="S87" s="3"/>
      <c r="T87" s="3"/>
      <c r="U87" s="3"/>
      <c r="V87" s="3"/>
      <c r="W87" s="3"/>
      <c r="X87" s="3"/>
      <c r="Y87" s="3"/>
      <c r="Z87" s="3"/>
    </row>
    <row r="88" spans="19:26" x14ac:dyDescent="0.3">
      <c r="S88" s="3"/>
      <c r="T88" s="3"/>
      <c r="U88" s="3"/>
      <c r="V88" s="3"/>
      <c r="W88" s="3"/>
      <c r="X88" s="3"/>
      <c r="Y88" s="3"/>
      <c r="Z88" s="3"/>
    </row>
    <row r="89" spans="19:26" x14ac:dyDescent="0.3">
      <c r="S89" s="3"/>
      <c r="T89" s="3"/>
      <c r="U89" s="3"/>
      <c r="V89" s="3"/>
      <c r="W89" s="3"/>
      <c r="X89" s="3"/>
      <c r="Y89" s="3"/>
      <c r="Z89" s="3"/>
    </row>
    <row r="90" spans="19:26" x14ac:dyDescent="0.3">
      <c r="S90" s="3"/>
      <c r="T90" s="3"/>
      <c r="U90" s="3"/>
      <c r="V90" s="3"/>
      <c r="W90" s="3"/>
      <c r="X90" s="3"/>
      <c r="Y90" s="3"/>
      <c r="Z90" s="3"/>
    </row>
    <row r="91" spans="19:26" x14ac:dyDescent="0.3">
      <c r="S91" s="3"/>
      <c r="T91" s="3"/>
      <c r="U91" s="3"/>
      <c r="V91" s="3"/>
      <c r="W91" s="3"/>
      <c r="X91" s="3"/>
      <c r="Y91" s="3"/>
      <c r="Z91" s="3"/>
    </row>
    <row r="92" spans="19:26" x14ac:dyDescent="0.3">
      <c r="S92" s="3"/>
      <c r="T92" s="3"/>
      <c r="U92" s="3"/>
      <c r="V92" s="3"/>
      <c r="W92" s="3"/>
      <c r="X92" s="3"/>
      <c r="Y92" s="3"/>
      <c r="Z92" s="3"/>
    </row>
    <row r="93" spans="19:26" x14ac:dyDescent="0.3">
      <c r="S93" s="3"/>
      <c r="T93" s="3"/>
      <c r="U93" s="3"/>
      <c r="V93" s="3"/>
      <c r="W93" s="3"/>
      <c r="X93" s="3"/>
      <c r="Y93" s="3"/>
      <c r="Z93" s="3"/>
    </row>
    <row r="94" spans="19:26" x14ac:dyDescent="0.3">
      <c r="S94" s="3"/>
      <c r="T94" s="3"/>
      <c r="U94" s="3"/>
      <c r="V94" s="3"/>
      <c r="W94" s="3"/>
      <c r="X94" s="3"/>
      <c r="Y94" s="3"/>
      <c r="Z94" s="3"/>
    </row>
    <row r="95" spans="19:26" x14ac:dyDescent="0.3">
      <c r="S95" s="3"/>
      <c r="T95" s="3"/>
      <c r="U95" s="3"/>
      <c r="V95" s="3"/>
      <c r="W95" s="3"/>
      <c r="X95" s="3"/>
      <c r="Y95" s="3"/>
      <c r="Z95" s="3"/>
    </row>
    <row r="96" spans="19:26" x14ac:dyDescent="0.3">
      <c r="S96" s="3"/>
      <c r="T96" s="3"/>
      <c r="U96" s="3"/>
      <c r="V96" s="3"/>
      <c r="W96" s="3"/>
      <c r="X96" s="3"/>
      <c r="Y96" s="3"/>
      <c r="Z96" s="3"/>
    </row>
    <row r="97" spans="19:26" x14ac:dyDescent="0.3">
      <c r="S97" s="3"/>
      <c r="T97" s="3"/>
      <c r="U97" s="3"/>
      <c r="V97" s="3"/>
      <c r="W97" s="3"/>
      <c r="X97" s="3"/>
      <c r="Y97" s="3"/>
      <c r="Z97" s="3"/>
    </row>
    <row r="98" spans="19:26" x14ac:dyDescent="0.3">
      <c r="S98" s="3"/>
      <c r="T98" s="3"/>
      <c r="U98" s="3"/>
      <c r="V98" s="3"/>
      <c r="W98" s="3"/>
      <c r="X98" s="3"/>
      <c r="Y98" s="3"/>
      <c r="Z98" s="3"/>
    </row>
    <row r="99" spans="19:26" x14ac:dyDescent="0.3">
      <c r="S99" s="3"/>
      <c r="T99" s="3"/>
      <c r="U99" s="3"/>
      <c r="V99" s="3"/>
      <c r="W99" s="3"/>
      <c r="X99" s="3"/>
      <c r="Y99" s="3"/>
      <c r="Z99" s="3"/>
    </row>
    <row r="100" spans="19:26" x14ac:dyDescent="0.3">
      <c r="S100" s="3"/>
      <c r="T100" s="3"/>
      <c r="U100" s="3"/>
      <c r="V100" s="3"/>
      <c r="W100" s="3"/>
      <c r="X100" s="3"/>
      <c r="Y100" s="3"/>
      <c r="Z100" s="3"/>
    </row>
    <row r="101" spans="19:26" x14ac:dyDescent="0.3">
      <c r="S101" s="3"/>
      <c r="T101" s="3"/>
      <c r="U101" s="3"/>
      <c r="V101" s="3"/>
      <c r="W101" s="3"/>
      <c r="X101" s="3"/>
      <c r="Y101" s="3"/>
      <c r="Z101" s="3"/>
    </row>
    <row r="102" spans="19:26" x14ac:dyDescent="0.3">
      <c r="S102" s="3"/>
      <c r="T102" s="3"/>
      <c r="U102" s="3"/>
      <c r="V102" s="3"/>
      <c r="W102" s="3"/>
      <c r="X102" s="3"/>
      <c r="Y102" s="3"/>
      <c r="Z102" s="3"/>
    </row>
    <row r="103" spans="19:26" x14ac:dyDescent="0.3">
      <c r="S103" s="3"/>
      <c r="T103" s="3"/>
      <c r="U103" s="6"/>
      <c r="V103" s="6"/>
      <c r="W103" s="6"/>
      <c r="X103" s="6"/>
      <c r="Y103" s="3"/>
      <c r="Z103" s="3"/>
    </row>
    <row r="104" spans="19:26" x14ac:dyDescent="0.3">
      <c r="S104" s="3"/>
      <c r="T104" s="3"/>
      <c r="U104" s="3"/>
      <c r="V104" s="3"/>
      <c r="W104" s="3"/>
      <c r="X104" s="3"/>
      <c r="Y104" s="3"/>
      <c r="Z104" s="3"/>
    </row>
    <row r="105" spans="19:26" x14ac:dyDescent="0.3">
      <c r="S105" s="3"/>
      <c r="T105" s="3"/>
      <c r="U105" s="3"/>
      <c r="V105" s="3"/>
      <c r="W105" s="3"/>
      <c r="X105" s="3"/>
      <c r="Y105" s="3"/>
      <c r="Z105" s="3"/>
    </row>
    <row r="106" spans="19:26" x14ac:dyDescent="0.3">
      <c r="S106" s="3"/>
      <c r="T106" s="3"/>
      <c r="U106" s="3"/>
      <c r="V106" s="3"/>
      <c r="W106" s="3"/>
      <c r="X106" s="3"/>
      <c r="Y106" s="3"/>
      <c r="Z106" s="3"/>
    </row>
    <row r="107" spans="19:26" x14ac:dyDescent="0.3">
      <c r="S107" s="3"/>
      <c r="T107" s="3"/>
      <c r="U107" s="3"/>
      <c r="V107" s="3"/>
      <c r="W107" s="3"/>
      <c r="X107" s="3"/>
      <c r="Y107" s="3"/>
      <c r="Z107" s="3"/>
    </row>
    <row r="108" spans="19:26" x14ac:dyDescent="0.3">
      <c r="S108" s="3"/>
      <c r="T108" s="3"/>
      <c r="U108" s="3"/>
      <c r="V108" s="3"/>
      <c r="W108" s="3"/>
      <c r="X108" s="3"/>
      <c r="Y108" s="3"/>
      <c r="Z108" s="3"/>
    </row>
    <row r="109" spans="19:26" x14ac:dyDescent="0.3">
      <c r="S109" s="3"/>
      <c r="T109" s="3"/>
      <c r="U109" s="3"/>
      <c r="V109" s="3"/>
      <c r="W109" s="3"/>
      <c r="X109" s="3"/>
      <c r="Y109" s="3"/>
      <c r="Z109" s="3"/>
    </row>
    <row r="110" spans="19:26" x14ac:dyDescent="0.3">
      <c r="S110" s="3"/>
      <c r="T110" s="3"/>
      <c r="U110" s="3"/>
      <c r="V110" s="3"/>
      <c r="W110" s="3"/>
      <c r="X110" s="3"/>
      <c r="Y110" s="3"/>
      <c r="Z110" s="3"/>
    </row>
    <row r="111" spans="19:26" x14ac:dyDescent="0.3">
      <c r="S111" s="3"/>
      <c r="T111" s="3"/>
      <c r="U111" s="3"/>
      <c r="V111" s="3"/>
      <c r="W111" s="3"/>
      <c r="X111" s="3"/>
      <c r="Y111" s="3"/>
      <c r="Z111" s="3"/>
    </row>
    <row r="112" spans="19:26" x14ac:dyDescent="0.3">
      <c r="S112" s="3"/>
      <c r="T112" s="3"/>
      <c r="U112" s="3"/>
      <c r="V112" s="3"/>
      <c r="W112" s="3"/>
      <c r="X112" s="3"/>
      <c r="Y112" s="3"/>
      <c r="Z112" s="3"/>
    </row>
    <row r="113" spans="19:26" x14ac:dyDescent="0.3">
      <c r="S113" s="3"/>
      <c r="T113" s="3"/>
      <c r="U113" s="3"/>
      <c r="V113" s="3"/>
      <c r="W113" s="3"/>
      <c r="X113" s="3"/>
      <c r="Y113" s="3"/>
      <c r="Z113" s="3"/>
    </row>
    <row r="114" spans="19:26" x14ac:dyDescent="0.3">
      <c r="S114" s="3"/>
      <c r="T114" s="3"/>
      <c r="U114" s="3"/>
      <c r="V114" s="3"/>
      <c r="W114" s="3"/>
      <c r="X114" s="3"/>
      <c r="Y114" s="3"/>
      <c r="Z114" s="3"/>
    </row>
    <row r="115" spans="19:26" x14ac:dyDescent="0.3">
      <c r="S115" s="3"/>
      <c r="T115" s="3"/>
      <c r="U115" s="3"/>
      <c r="V115" s="3"/>
      <c r="W115" s="3"/>
      <c r="X115" s="3"/>
      <c r="Y115" s="3"/>
      <c r="Z115" s="3"/>
    </row>
    <row r="116" spans="19:26" x14ac:dyDescent="0.3">
      <c r="S116" s="3"/>
      <c r="T116" s="3"/>
      <c r="U116" s="3"/>
      <c r="V116" s="3"/>
      <c r="W116" s="3"/>
      <c r="X116" s="3"/>
      <c r="Y116" s="3"/>
      <c r="Z116" s="3"/>
    </row>
    <row r="117" spans="19:26" x14ac:dyDescent="0.3">
      <c r="S117" s="3"/>
      <c r="T117" s="3"/>
      <c r="U117" s="3"/>
      <c r="V117" s="3"/>
      <c r="W117" s="3"/>
      <c r="X117" s="3"/>
      <c r="Y117" s="3"/>
      <c r="Z117" s="3"/>
    </row>
    <row r="118" spans="19:26" x14ac:dyDescent="0.3">
      <c r="S118" s="3"/>
      <c r="T118" s="3"/>
      <c r="U118" s="3"/>
      <c r="V118" s="3"/>
      <c r="W118" s="3"/>
      <c r="X118" s="3"/>
      <c r="Y118" s="3"/>
      <c r="Z118" s="3"/>
    </row>
    <row r="119" spans="19:26" x14ac:dyDescent="0.3">
      <c r="S119" s="3"/>
      <c r="T119" s="3"/>
      <c r="U119" s="3"/>
      <c r="V119" s="3"/>
      <c r="W119" s="3"/>
      <c r="X119" s="3"/>
      <c r="Y119" s="3"/>
      <c r="Z119" s="3"/>
    </row>
    <row r="120" spans="19:26" x14ac:dyDescent="0.3">
      <c r="S120" s="3"/>
      <c r="T120" s="3"/>
      <c r="U120" s="3"/>
      <c r="V120" s="3"/>
      <c r="W120" s="3"/>
      <c r="X120" s="3"/>
      <c r="Y120" s="3"/>
      <c r="Z120" s="3"/>
    </row>
    <row r="121" spans="19:26" x14ac:dyDescent="0.3">
      <c r="S121" s="3"/>
      <c r="T121" s="3"/>
      <c r="U121" s="3"/>
      <c r="V121" s="3"/>
      <c r="W121" s="3"/>
      <c r="X121" s="3"/>
      <c r="Y121" s="3"/>
      <c r="Z121" s="3"/>
    </row>
  </sheetData>
  <sortState ref="S2:Z11">
    <sortCondition ref="Z2"/>
  </sortState>
  <phoneticPr fontId="2" type="noConversion"/>
  <pageMargins left="0.7" right="0.7" top="0.75" bottom="0.75" header="0.3" footer="0.3"/>
  <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17</vt:i4>
      </vt:variant>
    </vt:vector>
  </HeadingPairs>
  <TitlesOfParts>
    <vt:vector size="28" baseType="lpstr">
      <vt:lpstr>로그인</vt:lpstr>
      <vt:lpstr>메인</vt:lpstr>
      <vt:lpstr>교사</vt:lpstr>
      <vt:lpstr>학생</vt:lpstr>
      <vt:lpstr>문제</vt:lpstr>
      <vt:lpstr>성적</vt:lpstr>
      <vt:lpstr>문제보기</vt:lpstr>
      <vt:lpstr>재확인문제</vt:lpstr>
      <vt:lpstr>질문답변</vt:lpstr>
      <vt:lpstr>설문조사</vt:lpstr>
      <vt:lpstr>자료처리</vt:lpstr>
      <vt:lpstr>A_</vt:lpstr>
      <vt:lpstr>B_</vt:lpstr>
      <vt:lpstr>C_</vt:lpstr>
      <vt:lpstr>문제보기!Criteria</vt:lpstr>
      <vt:lpstr>성적!Criteria</vt:lpstr>
      <vt:lpstr>자료처리!Criteria</vt:lpstr>
      <vt:lpstr>학생!Criteria</vt:lpstr>
      <vt:lpstr>자료처리!Extract</vt:lpstr>
      <vt:lpstr>학생!Extract</vt:lpstr>
      <vt:lpstr>idx</vt:lpstr>
      <vt:lpstr>바리스타</vt:lpstr>
      <vt:lpstr>번호</vt:lpstr>
      <vt:lpstr>선택문제</vt:lpstr>
      <vt:lpstr>선택질문</vt:lpstr>
      <vt:lpstr>제과</vt:lpstr>
      <vt:lpstr>제빵</vt:lpstr>
      <vt:lpstr>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Neko Kim</dc:creator>
  <cp:lastModifiedBy>user</cp:lastModifiedBy>
  <dcterms:created xsi:type="dcterms:W3CDTF">2022-08-21T07:10:04Z</dcterms:created>
  <dcterms:modified xsi:type="dcterms:W3CDTF">2022-08-26T05:36:59Z</dcterms:modified>
</cp:coreProperties>
</file>